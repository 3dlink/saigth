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0" windowWidth="20730" windowHeight="11760"/>
  </bookViews>
  <sheets>
    <sheet name="Personal Propio FN" sheetId="1" r:id="rId1"/>
    <sheet name="Personal Asignado a  FN" sheetId="2" r:id="rId2"/>
    <sheet name="Aprendices y Pasantes" sheetId="4" r:id="rId3"/>
  </sheets>
  <definedNames>
    <definedName name="_xlnm._FilterDatabase" localSheetId="2" hidden="1">'Aprendices y Pasantes'!$A$12:$K$35</definedName>
    <definedName name="_xlnm._FilterDatabase" localSheetId="1" hidden="1">'Personal Asignado a  FN'!$A$12:$K$25</definedName>
    <definedName name="_xlnm._FilterDatabase" localSheetId="0" hidden="1">'Personal Propio FN'!$A$12:$M$566</definedName>
    <definedName name="Z_DD3EE430_41E1_4057_8BE1_25319396213E_.wvu.FilterData" localSheetId="2" hidden="1">'Aprendices y Pasantes'!$A$12:$K$24</definedName>
    <definedName name="Z_DD3EE430_41E1_4057_8BE1_25319396213E_.wvu.FilterData" localSheetId="1" hidden="1">'Personal Asignado a  FN'!$A$12:$K$24</definedName>
    <definedName name="Z_DD3EE430_41E1_4057_8BE1_25319396213E_.wvu.FilterData" localSheetId="0" hidden="1">'Personal Propio FN'!$A$12:$M$525</definedName>
  </definedNames>
  <calcPr calcId="145621"/>
  <customWorkbookViews>
    <customWorkbookView name="orensej - Vista personalizada" guid="{DD3EE430-41E1-4057-8BE1-25319396213E}" mergeInterval="0" changesSavedWin="1" personalView="1" maximized="1" xWindow="1" yWindow="1" windowWidth="1362" windowHeight="534" activeSheetId="1"/>
  </customWorkbookViews>
</workbook>
</file>

<file path=xl/calcChain.xml><?xml version="1.0" encoding="utf-8"?>
<calcChain xmlns="http://schemas.openxmlformats.org/spreadsheetml/2006/main">
  <c r="E10" i="1" l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I10" i="1"/>
  <c r="I10" i="4"/>
  <c r="F10" i="4"/>
  <c r="K2" i="4"/>
  <c r="C585" i="1" l="1"/>
  <c r="K2" i="2" l="1"/>
  <c r="I10" i="2" l="1"/>
  <c r="F10" i="2"/>
</calcChain>
</file>

<file path=xl/sharedStrings.xml><?xml version="1.0" encoding="utf-8"?>
<sst xmlns="http://schemas.openxmlformats.org/spreadsheetml/2006/main" count="4728" uniqueCount="925">
  <si>
    <t>Masculino</t>
  </si>
  <si>
    <t>Mayor</t>
  </si>
  <si>
    <t>Administrativo</t>
  </si>
  <si>
    <t>GRUPO D</t>
  </si>
  <si>
    <t>Menor</t>
  </si>
  <si>
    <t>GRUPO D-Nom.Menor</t>
  </si>
  <si>
    <t>Colina, José Luis</t>
  </si>
  <si>
    <t>Técnico Mayor Electricista</t>
  </si>
  <si>
    <t>GRUPO B</t>
  </si>
  <si>
    <t>E.a Superintendencia de Contabilidad</t>
  </si>
  <si>
    <t>GRUPO C</t>
  </si>
  <si>
    <t>F.a Superintendencia de Amoniaco</t>
  </si>
  <si>
    <t>Tecnico de Planta</t>
  </si>
  <si>
    <t>G Gerencia Técnica</t>
  </si>
  <si>
    <t>Mendoza R., Homero A.</t>
  </si>
  <si>
    <t>Supervisor de Turno</t>
  </si>
  <si>
    <t>Asignados</t>
  </si>
  <si>
    <t>Díaz L., Gilberto R.</t>
  </si>
  <si>
    <t>F.b Superintendencia de Urea</t>
  </si>
  <si>
    <t>C Consultoria Juridica</t>
  </si>
  <si>
    <t>Femenino</t>
  </si>
  <si>
    <t>D Gerencia de Recursos Humanos</t>
  </si>
  <si>
    <t>Gerente de RRHH</t>
  </si>
  <si>
    <t>Coordinador de Produccion</t>
  </si>
  <si>
    <t>Técnico Mecanico</t>
  </si>
  <si>
    <t>Lara Ortiz, Maicar</t>
  </si>
  <si>
    <t>D.c  Desarrollo Organizacional</t>
  </si>
  <si>
    <t>GRUPO A</t>
  </si>
  <si>
    <t>F.c Superintendencia de SSII</t>
  </si>
  <si>
    <t>Auxiliar de Limpieza</t>
  </si>
  <si>
    <t>Flores Oliveros, Pedro E.</t>
  </si>
  <si>
    <t>GRUPO A-Nom.Menor</t>
  </si>
  <si>
    <t>Tecnico Instrumentista</t>
  </si>
  <si>
    <t>Guerra Paliche, Ismael Antonio</t>
  </si>
  <si>
    <t>GRUPO B-Nom.Menor</t>
  </si>
  <si>
    <t>Martínez, Hector Julio</t>
  </si>
  <si>
    <t>Guaita T, Juan</t>
  </si>
  <si>
    <t>Pirela Ferrer, Ciro Angel</t>
  </si>
  <si>
    <t>Planificador de Materiales</t>
  </si>
  <si>
    <t>Peraza O., Henry</t>
  </si>
  <si>
    <t>Bastardo, Emiro Edmundo</t>
  </si>
  <si>
    <t>Operador de PCP</t>
  </si>
  <si>
    <t>Guiquirian Rodriguez, Jose Rafael</t>
  </si>
  <si>
    <t>K.c Suptcia. de Conf. Equipos Estaticos</t>
  </si>
  <si>
    <t>Inspector de Equipos Estaticos</t>
  </si>
  <si>
    <t>Olano  Moran, Daniel Enrique</t>
  </si>
  <si>
    <t>GRUPO C-Nom.Menor</t>
  </si>
  <si>
    <t>Moncada A., Gustavo</t>
  </si>
  <si>
    <t>Tecnico DCS</t>
  </si>
  <si>
    <t>M.b Compras Parada de Planta</t>
  </si>
  <si>
    <t>Aguilera Gomez, Luis Beltran</t>
  </si>
  <si>
    <t>H Gerencia Seguridad, Higiene y Ambiente</t>
  </si>
  <si>
    <t>Sira, Edgar</t>
  </si>
  <si>
    <t>Técnico Mayor Mecanico</t>
  </si>
  <si>
    <t>G.a Superintendencia Aseg. de Calidad</t>
  </si>
  <si>
    <t>Pérez C., Basilio C.</t>
  </si>
  <si>
    <t>Padron V., Ludwig S.</t>
  </si>
  <si>
    <t>Portillo Barboza, Hernan Jose</t>
  </si>
  <si>
    <t>Morales Borjas, Julio</t>
  </si>
  <si>
    <t>Superintendente de Mtto Mecanico</t>
  </si>
  <si>
    <t>Rodriguez, Jorge Luis</t>
  </si>
  <si>
    <t>Rodriguez, Luis Hipolito</t>
  </si>
  <si>
    <t>Supervisor de Seguridad Industrial</t>
  </si>
  <si>
    <t>Pirela G., Ricardo D.</t>
  </si>
  <si>
    <t>Chirinos Hernandez, Miguel Angel</t>
  </si>
  <si>
    <t>Estimador de Costos</t>
  </si>
  <si>
    <t>Rodríguez Ramos, Hector Jesus</t>
  </si>
  <si>
    <t>Superintendente de SSII</t>
  </si>
  <si>
    <t>Aleman F, Maria Eugenia</t>
  </si>
  <si>
    <t>Sulbaran L., David J.</t>
  </si>
  <si>
    <t>Castillo C., Gabriel  M.</t>
  </si>
  <si>
    <t>Alvins G., Juan C.</t>
  </si>
  <si>
    <t>Acuña R., Fernando</t>
  </si>
  <si>
    <t>Técnico Electricista</t>
  </si>
  <si>
    <t>Henriquez R., Daniel A.</t>
  </si>
  <si>
    <t>Tecnico Mayor de Reparaciones Menores</t>
  </si>
  <si>
    <t>Finanzas</t>
  </si>
  <si>
    <t>Esteban Losada, Carlos Vicente</t>
  </si>
  <si>
    <t>Bravo N., Omar</t>
  </si>
  <si>
    <t>Auxiliar de Limpieza de Granulacion</t>
  </si>
  <si>
    <t>Pirela P., Mario</t>
  </si>
  <si>
    <t>Leiva D., Gabriela del V.</t>
  </si>
  <si>
    <t>E.b.d Administracion de Contratos</t>
  </si>
  <si>
    <t>Analista de Administracion de Contratos</t>
  </si>
  <si>
    <t>Fernández D., María J.</t>
  </si>
  <si>
    <t>Rodríguez V., Douglas E.</t>
  </si>
  <si>
    <t>Infante C., José  L.</t>
  </si>
  <si>
    <t>Técnico Mecánico</t>
  </si>
  <si>
    <t>Namias  Diaz, Julio R.</t>
  </si>
  <si>
    <t>Morles H., Carlos E.</t>
  </si>
  <si>
    <t>Ramos P., Xiomara</t>
  </si>
  <si>
    <t>Supv. de Mtto de Edificaciones</t>
  </si>
  <si>
    <t>Pirela P., Marcos S.</t>
  </si>
  <si>
    <t>Analista de Contabilidad</t>
  </si>
  <si>
    <t>Andrade P., Hexdie  A.</t>
  </si>
  <si>
    <t>Soto Santiago, Irwin Luis</t>
  </si>
  <si>
    <t>Mosquera, Marcos Jose</t>
  </si>
  <si>
    <t>Ordoñez C., Marcos</t>
  </si>
  <si>
    <t>D.b  Planes, Beneficios y Nomina</t>
  </si>
  <si>
    <t>Yoris Torres, Miguel Ernesto</t>
  </si>
  <si>
    <t>Molero G., Vinicio</t>
  </si>
  <si>
    <t>González C., Antonio J.</t>
  </si>
  <si>
    <t>Vallejo M, Argenis</t>
  </si>
  <si>
    <t>Bolivar, Frank Luis</t>
  </si>
  <si>
    <t>Bianco R, Freddy</t>
  </si>
  <si>
    <t>Maraima H., Diogenes C.</t>
  </si>
  <si>
    <t>Asistente de Correspondencia y Suministr</t>
  </si>
  <si>
    <t>Guaina Maleno, Ramón Celestino</t>
  </si>
  <si>
    <t>Morffe H., Roger</t>
  </si>
  <si>
    <t>Guzmán D, Guillermo</t>
  </si>
  <si>
    <t>Aguilera Rosales, Pablo Luis</t>
  </si>
  <si>
    <t>Ing. Autom. y Control de Procesos</t>
  </si>
  <si>
    <t>Zamora Zabala, Jose Eulisis</t>
  </si>
  <si>
    <t>Guillén C, Ysnarde</t>
  </si>
  <si>
    <t>Malpa Yaguaramay, Juan Bautista</t>
  </si>
  <si>
    <t>Paramedico</t>
  </si>
  <si>
    <t>Guzman C, Jholy Elena</t>
  </si>
  <si>
    <t>Arcia, Pedro</t>
  </si>
  <si>
    <t>Cabello J, Ledia Josefina</t>
  </si>
  <si>
    <t>Pedrique, Asdrubal</t>
  </si>
  <si>
    <t>Andrade B, Luis A.</t>
  </si>
  <si>
    <t>Villarroel P., Jesús</t>
  </si>
  <si>
    <t>Asistente de Almacen</t>
  </si>
  <si>
    <t>Reyes Gil, Cesar  Emilio</t>
  </si>
  <si>
    <t>Farrera Ramos, Yulixi</t>
  </si>
  <si>
    <t>Fuentes, Raúl  E.</t>
  </si>
  <si>
    <t>Carvajal  Lopez, Argerbis Ramon</t>
  </si>
  <si>
    <t>K.a Suptcia. de Conf. Instr y Elect.</t>
  </si>
  <si>
    <t>Inspector de Equipos Electricos</t>
  </si>
  <si>
    <t>Freites Guarema, Jesús Enrique</t>
  </si>
  <si>
    <t>Farias Y., Diego E.</t>
  </si>
  <si>
    <t>Ron B., Manuel E.</t>
  </si>
  <si>
    <t>Silva C., Douglas R.</t>
  </si>
  <si>
    <t>Alcalá B., Cristóbal José</t>
  </si>
  <si>
    <t>Sabino Brito, Jose Humberto</t>
  </si>
  <si>
    <t>Correia Rodriguez, Emerson Jose</t>
  </si>
  <si>
    <t>Técnico de Seguridad, Higiene y Ambiente</t>
  </si>
  <si>
    <t>Ingeniero de Procesos</t>
  </si>
  <si>
    <t>Caraballo V., Alexei</t>
  </si>
  <si>
    <t>Analista Integral PCP</t>
  </si>
  <si>
    <t>Figuera Segura, Edmar Jose</t>
  </si>
  <si>
    <t>Analista de Laboratorio</t>
  </si>
  <si>
    <t>Figueroa L, José</t>
  </si>
  <si>
    <t>Martínez Longart, Josué Angel</t>
  </si>
  <si>
    <t>Figuera G, Rory</t>
  </si>
  <si>
    <t>Millan Millan, Francisco Jose</t>
  </si>
  <si>
    <t>Muzziotti M., Pedro C.</t>
  </si>
  <si>
    <t>Acuña H, José G.</t>
  </si>
  <si>
    <t>Cabeza Andarcia, Fran Hernan</t>
  </si>
  <si>
    <t>Wetter S., Carlos</t>
  </si>
  <si>
    <t>Gerente de Mantenimiento</t>
  </si>
  <si>
    <t>Escobar De P., Elena Del V.</t>
  </si>
  <si>
    <t>Asesor de Calidad</t>
  </si>
  <si>
    <t>Ramirez B, Rafael Ernesto</t>
  </si>
  <si>
    <t>Auxiliar de Jardineria</t>
  </si>
  <si>
    <t>Carrera V, Jose Gregorio</t>
  </si>
  <si>
    <t>Asesor Legal</t>
  </si>
  <si>
    <t>Fuenmayor S, Jesús</t>
  </si>
  <si>
    <t>Orense M., Jose L.</t>
  </si>
  <si>
    <t>Planificador de Control y Gestion RH</t>
  </si>
  <si>
    <t>Romero R., Carlos E.</t>
  </si>
  <si>
    <t>Supervisor de Logistica y Analysis</t>
  </si>
  <si>
    <t>Pacheco V., Nelson E.</t>
  </si>
  <si>
    <t>Bolívar C., Teresa</t>
  </si>
  <si>
    <t>Villegas Landinez, Fabian Antonio</t>
  </si>
  <si>
    <t>Giron R., Robert E.</t>
  </si>
  <si>
    <t>Geraldo B, Luis Abelardo</t>
  </si>
  <si>
    <t>Diprenda S., Francisco J.</t>
  </si>
  <si>
    <t>Sánchez, Julio</t>
  </si>
  <si>
    <t>Martínez M., Luisa A.</t>
  </si>
  <si>
    <t>Mendoza Barreto, Rito Leonardo</t>
  </si>
  <si>
    <t>Arreaza Sierraalta, Manuel</t>
  </si>
  <si>
    <t>Granados R, Luis</t>
  </si>
  <si>
    <t>Vega Maigua, Orlando Manuel</t>
  </si>
  <si>
    <t>González Martinez, Williams Gregorio</t>
  </si>
  <si>
    <t>Depablos Arenas, Anulfo</t>
  </si>
  <si>
    <t>Auxiliar Paramedico</t>
  </si>
  <si>
    <t>Marsella, Yonny</t>
  </si>
  <si>
    <t>Gil Vargas, Alirio Antonio</t>
  </si>
  <si>
    <t>Yanez A., Ruben A.</t>
  </si>
  <si>
    <t>Castillo, Luis</t>
  </si>
  <si>
    <t>Piña R., Wilfredo J.</t>
  </si>
  <si>
    <t>Boscan Rincon, Juan  Jose</t>
  </si>
  <si>
    <t>Ramonis Guaina, Zoraida Ramona</t>
  </si>
  <si>
    <t>Morales B., William J.</t>
  </si>
  <si>
    <t>Mujica Mora, Yuber</t>
  </si>
  <si>
    <t>Rodriguez P, Gency</t>
  </si>
  <si>
    <t>Bellorín V., Robert</t>
  </si>
  <si>
    <t>Coordinador de Despacho</t>
  </si>
  <si>
    <t>Tremont Barrios, Niorlin Del Carmen</t>
  </si>
  <si>
    <t>M.a Compras Rutinarias</t>
  </si>
  <si>
    <t>Analista de Compras</t>
  </si>
  <si>
    <t>Parra R., Nelsón R.</t>
  </si>
  <si>
    <t>Linares C, Fanni Maritsa</t>
  </si>
  <si>
    <t>D'alto Fonseca, Angelo  Raimundo</t>
  </si>
  <si>
    <t>Lozada P, Nelson Enrique</t>
  </si>
  <si>
    <t>Mendoza P, Lisandro</t>
  </si>
  <si>
    <t>Técnico Mayor  Instrumentista</t>
  </si>
  <si>
    <t>Yancen S., Richard A.</t>
  </si>
  <si>
    <t>Randirez U., José E.</t>
  </si>
  <si>
    <t>Acuña Ecarri, Saul Jose</t>
  </si>
  <si>
    <t>González Figueroa, Diogenes Rafael</t>
  </si>
  <si>
    <t>Salazar V., Wilfredo A.</t>
  </si>
  <si>
    <t>Analista de Servicios al Personal</t>
  </si>
  <si>
    <t>Pietrucci Antonio, Antonio Jose</t>
  </si>
  <si>
    <t>Vasquez D., Jesus del V.</t>
  </si>
  <si>
    <t>Contreras Andara, Gonzalo Alvar</t>
  </si>
  <si>
    <t>Galanton A., Genrry R.</t>
  </si>
  <si>
    <t>Marcano C., Geraldo</t>
  </si>
  <si>
    <t>Jimenez Ramirez, Edward</t>
  </si>
  <si>
    <t>Valdemir G., Andrés F.</t>
  </si>
  <si>
    <t>Mata T., Henry  A.</t>
  </si>
  <si>
    <t>Mata Arcia, Efren Del Valle</t>
  </si>
  <si>
    <t>Lopez, Blanca Cecilia</t>
  </si>
  <si>
    <t>Inspector de Instrumentacion</t>
  </si>
  <si>
    <t>La Concha M., Ninoska</t>
  </si>
  <si>
    <t>Superintendente Mtto de Planificacion</t>
  </si>
  <si>
    <t>Julio, Juan Carlos</t>
  </si>
  <si>
    <t>Flores, Edgar  Rafael</t>
  </si>
  <si>
    <t>E Gerencia de Finanzas</t>
  </si>
  <si>
    <t>Florez Chacon, Edgar Alfonso</t>
  </si>
  <si>
    <t>Recursos Humanos</t>
  </si>
  <si>
    <t>Rudas A., Dagoneyl</t>
  </si>
  <si>
    <t>Figueroa, Paulo</t>
  </si>
  <si>
    <t>Velasquez Marcano, Juan Pedro</t>
  </si>
  <si>
    <t>Hernández O., Armando J.</t>
  </si>
  <si>
    <t>Gomez Millan, Ramon José</t>
  </si>
  <si>
    <t>D.a  Relaciones Laborales</t>
  </si>
  <si>
    <t>Supervisor Relaciones Laborales</t>
  </si>
  <si>
    <t>Zamora, Numan</t>
  </si>
  <si>
    <t>HERNANDEZ BRITO, OVIS OMAR</t>
  </si>
  <si>
    <t>Díaz Moron, Ruth Aurora</t>
  </si>
  <si>
    <t>Velásquez H., Ernesto J.</t>
  </si>
  <si>
    <t>Olivares C, Wilfredo</t>
  </si>
  <si>
    <t>Casique Guerrero, Ana</t>
  </si>
  <si>
    <t>Lopez P., Rayrey E.</t>
  </si>
  <si>
    <t>Martínez M., Gustavo</t>
  </si>
  <si>
    <t>Pacheco M., José A.</t>
  </si>
  <si>
    <t>D.d AAPP y Calidad de Vida</t>
  </si>
  <si>
    <t>Escalona R., Francisco</t>
  </si>
  <si>
    <t>Caporal de Limpieza de Granulacion</t>
  </si>
  <si>
    <t>Molina Flores, Alfonso Enrique</t>
  </si>
  <si>
    <t>Inchausti R., Carlos  J.</t>
  </si>
  <si>
    <t>Maestre M., Manuel  A.</t>
  </si>
  <si>
    <t>Superintendente de Amoniaco</t>
  </si>
  <si>
    <t>Lunar P., Germain J.</t>
  </si>
  <si>
    <t>Lunar Patiño, Grellysvir Jose</t>
  </si>
  <si>
    <t>Betancourt C., Joe Camilo</t>
  </si>
  <si>
    <t>Mendoza T., Hernán de J.</t>
  </si>
  <si>
    <t>Vilchez Manzano, Jesús Jose</t>
  </si>
  <si>
    <t>Tineo Toledo, Antonio Cesar</t>
  </si>
  <si>
    <t>Guarache M., Jairo  J.</t>
  </si>
  <si>
    <t>Zabala Moya, José Antonio</t>
  </si>
  <si>
    <t>Superintendente de Urea</t>
  </si>
  <si>
    <t>Guevara A, Jesús</t>
  </si>
  <si>
    <t>Vespa Acuña, Yoselith Del Valle</t>
  </si>
  <si>
    <t>Analista de Planes y Beneficios PQV</t>
  </si>
  <si>
    <t>Ríos G., José D.</t>
  </si>
  <si>
    <t>Guaparumo Alamo, Zaibe del Carmen</t>
  </si>
  <si>
    <t>Supervisor de Contrataciones</t>
  </si>
  <si>
    <t>Romero Lopez, Juan Carlos</t>
  </si>
  <si>
    <t>Escobar G., Simón  E.</t>
  </si>
  <si>
    <t>Esparragoza, William  Jose</t>
  </si>
  <si>
    <t>Chaparro G, José Cristel</t>
  </si>
  <si>
    <t>Analista de Relaciones Laborales</t>
  </si>
  <si>
    <t>González Z., Trino</t>
  </si>
  <si>
    <t>Sobil D, Reina Del Valle</t>
  </si>
  <si>
    <t>Veltri R., Esther E.</t>
  </si>
  <si>
    <t>Marquez L., Miguel</t>
  </si>
  <si>
    <t>Aguiar, Felix Jose</t>
  </si>
  <si>
    <t>Castañeda Villarroel, Gregorina Del Carm</t>
  </si>
  <si>
    <t>Rondon Zapata, Alfredo ramon</t>
  </si>
  <si>
    <t>Ingeniero de Produccion</t>
  </si>
  <si>
    <t>Centeno M., Luis R.</t>
  </si>
  <si>
    <t>González Gonzalez, Josgluis  Agustin</t>
  </si>
  <si>
    <t>De La Rosa Zapata, Pedro Antonio</t>
  </si>
  <si>
    <t>Mata L., José  A.</t>
  </si>
  <si>
    <t>Velásquez, Jesús Salvador</t>
  </si>
  <si>
    <t>Marquez Alcala, Luis Jose</t>
  </si>
  <si>
    <t>Serrada V., Ramón</t>
  </si>
  <si>
    <t>Petit Chacin, Lisandro Antonio</t>
  </si>
  <si>
    <t>Salazar Diaz, Gohaypo De Los Rios</t>
  </si>
  <si>
    <t>Fernández L, Javier</t>
  </si>
  <si>
    <t>Lara Garcia, Maykar Leonardo</t>
  </si>
  <si>
    <t>García Boada, Rhazes Enrique</t>
  </si>
  <si>
    <t>Analista de Contrataciones</t>
  </si>
  <si>
    <t>Guerra V., Franghi C.</t>
  </si>
  <si>
    <t>Ingeniero de Riesgos</t>
  </si>
  <si>
    <t>Rojas, Douglas Jose</t>
  </si>
  <si>
    <t>Robles Pirela, Alexander Enrique</t>
  </si>
  <si>
    <t>Rojas R., Klirim</t>
  </si>
  <si>
    <t>Soterano Gonzalez, Franklin Nicolas</t>
  </si>
  <si>
    <t>Analista de Desarrollo</t>
  </si>
  <si>
    <t>Merentes A, Fernand Omar</t>
  </si>
  <si>
    <t>Analista de SISDEM</t>
  </si>
  <si>
    <t>Graterol G, Jose Esneider</t>
  </si>
  <si>
    <t>Alveaca, Luzeida</t>
  </si>
  <si>
    <t>Jaspe G., Jaime E.</t>
  </si>
  <si>
    <t>Rosi Marcano, Gabriel A.</t>
  </si>
  <si>
    <t>Ing. de Planta - Mecanico</t>
  </si>
  <si>
    <t>Prepo, Roger</t>
  </si>
  <si>
    <t>Cuello Coello, Luis</t>
  </si>
  <si>
    <t>Ugarte U., Carlos</t>
  </si>
  <si>
    <t>Ramirez C, Luis</t>
  </si>
  <si>
    <t>Sanchez M., Edward</t>
  </si>
  <si>
    <t>Rivas T., Felipe S.</t>
  </si>
  <si>
    <t>Zabala M., Roberto C.</t>
  </si>
  <si>
    <t>Salazar Martinez, Emerson Jose</t>
  </si>
  <si>
    <t>Urbina, Richard R.</t>
  </si>
  <si>
    <t>K.d Suptcia. de Conf. Equipos Rotativos</t>
  </si>
  <si>
    <t>Rojas Bellorin, Luis guillermo</t>
  </si>
  <si>
    <t>Cáceres Castellanos, Liliana Teresa</t>
  </si>
  <si>
    <t>E.b.c Impuestos</t>
  </si>
  <si>
    <t>Supervisor de Impuestos</t>
  </si>
  <si>
    <t>Peña Ramos, Alfredo Jesus</t>
  </si>
  <si>
    <t>Urdaneta Carrizo, Irwing Rafael</t>
  </si>
  <si>
    <t>Espinoza Olivares, Leopoldo  Aaron</t>
  </si>
  <si>
    <t>Zambrano Chorasmo, Oswaldo Jose</t>
  </si>
  <si>
    <t>Bermudez Parra, Israel Aaron</t>
  </si>
  <si>
    <t>Diaz G., Elio A.</t>
  </si>
  <si>
    <t>Miquilena Lopez, Osiel Antonio</t>
  </si>
  <si>
    <t>Semprun Romero, Alejandro Jose</t>
  </si>
  <si>
    <t>Contreras G., Elizabeth del C.</t>
  </si>
  <si>
    <t>E.b.a Cuestas Por Pagar</t>
  </si>
  <si>
    <t>Supv. de Cuestas Por Pagar</t>
  </si>
  <si>
    <t>Barreto, Arturo  J.</t>
  </si>
  <si>
    <t>Soto R., Jackson R.</t>
  </si>
  <si>
    <t>Choubar P., Yamel</t>
  </si>
  <si>
    <t>Piamo G, Pedro José</t>
  </si>
  <si>
    <t>Morillo Aguilera, Jesus</t>
  </si>
  <si>
    <t>Becerra B, Keyla</t>
  </si>
  <si>
    <t>Acuña Fermin, Rauzo Alejandro</t>
  </si>
  <si>
    <t>Mindler Acevedo, Orlando Jose</t>
  </si>
  <si>
    <t>Yaguaracuto, Paulo Jose</t>
  </si>
  <si>
    <t>Auxiliar de Reparaciones Menores</t>
  </si>
  <si>
    <t>Muñoz Belisario, Ernesto Carlos</t>
  </si>
  <si>
    <t>Valencia Vasquez, Juan Carlos</t>
  </si>
  <si>
    <t>Reis G., Compton</t>
  </si>
  <si>
    <t>Marquéz Márquez, Miguel</t>
  </si>
  <si>
    <t>Castillo León, José</t>
  </si>
  <si>
    <t>Rojas  B., Robert R.</t>
  </si>
  <si>
    <t>Ramos V., Hugo</t>
  </si>
  <si>
    <t>Vizcaya P, Kelvis</t>
  </si>
  <si>
    <t>Pérez Macias, Yohell Antonio</t>
  </si>
  <si>
    <t>Ruiz C., Dante J.</t>
  </si>
  <si>
    <t>Nobrega Guevara, Eury Carolina</t>
  </si>
  <si>
    <t>Supervisor de Planes Beneficios y Nomina</t>
  </si>
  <si>
    <t>Arevalo R., Luis M.</t>
  </si>
  <si>
    <t>Hernandez Santoyo, Erika</t>
  </si>
  <si>
    <t>B.a Infraestrucuta y Soporte</t>
  </si>
  <si>
    <t>López Blanco, Luis</t>
  </si>
  <si>
    <t>García G., Keyner</t>
  </si>
  <si>
    <t>Analista de calidad de vida</t>
  </si>
  <si>
    <t>Técnico de Planta</t>
  </si>
  <si>
    <t>Gamboa, Edgar</t>
  </si>
  <si>
    <t>Supervisor de Almacen</t>
  </si>
  <si>
    <t>Salinas P., Javier</t>
  </si>
  <si>
    <t>Roa Rios, Rey Agapito</t>
  </si>
  <si>
    <t>Guaina, Jose</t>
  </si>
  <si>
    <t>MATA A, JESUS ALEXANDER</t>
  </si>
  <si>
    <t>Sifontes H, Carlos</t>
  </si>
  <si>
    <t>Supervisor. de Confiab. de Equipos Estat</t>
  </si>
  <si>
    <t>Contreras R., Luis</t>
  </si>
  <si>
    <t>Magallanes, Juan Carlos</t>
  </si>
  <si>
    <t>Rosillo Mendoza, Braulio Jose</t>
  </si>
  <si>
    <t>Sánchez, Ricardo</t>
  </si>
  <si>
    <t>Subero B., Hector J.</t>
  </si>
  <si>
    <t>Clavier Hernandez, Rafael German</t>
  </si>
  <si>
    <t>Zerpa C., Luis</t>
  </si>
  <si>
    <t>Betancourt, Alexander Jose</t>
  </si>
  <si>
    <t>Rengel Materan, Wilfredo Jose</t>
  </si>
  <si>
    <t>Figuera Ch., Meleida</t>
  </si>
  <si>
    <t>Recepcionista</t>
  </si>
  <si>
    <t>Medina Ch, Marynilde</t>
  </si>
  <si>
    <t>Malave Tineo, Ruben Manuel</t>
  </si>
  <si>
    <t>Salazar  S., José M.</t>
  </si>
  <si>
    <t>Lozano Rojas, Georgina Coromoto</t>
  </si>
  <si>
    <t>Analista de Nomina</t>
  </si>
  <si>
    <t>Belisario T., Mary C.</t>
  </si>
  <si>
    <t>Analista de Sist. Integral de Gestion</t>
  </si>
  <si>
    <t>Toledo M, Franklin</t>
  </si>
  <si>
    <t>Arias R., Javier  R.</t>
  </si>
  <si>
    <t>Mendoza Parica, Yuvis Coromoto</t>
  </si>
  <si>
    <t>Auxiliar de Archivo de Recursos Humanos</t>
  </si>
  <si>
    <t>Gonzalez Medina, Maria</t>
  </si>
  <si>
    <t>Tirado Lauria, Juan Luis</t>
  </si>
  <si>
    <t>Silva Pereira, David Elias</t>
  </si>
  <si>
    <t>Ingeniero de Equipos Rotativos</t>
  </si>
  <si>
    <t>Soterano Gonzalez, Gerson Jose</t>
  </si>
  <si>
    <t>González C., Raúl</t>
  </si>
  <si>
    <t>Supte. de Conf. de Instrum y Elect.</t>
  </si>
  <si>
    <t>Programador</t>
  </si>
  <si>
    <t>Roca M., Alvaro J.</t>
  </si>
  <si>
    <t>Mata Serrano, Luis  Arsenio</t>
  </si>
  <si>
    <t>Bolivar  Adames, Dayana Y.</t>
  </si>
  <si>
    <t>Ing. de Planta - Civil</t>
  </si>
  <si>
    <t>Orzero Roca, Arnaldo J.</t>
  </si>
  <si>
    <t>Planificador de Proyecto</t>
  </si>
  <si>
    <t>Hurtado M, Leonardo</t>
  </si>
  <si>
    <t>Guanipa R., Elio J.</t>
  </si>
  <si>
    <t>Gómez F., Hector</t>
  </si>
  <si>
    <t>Torres S., Juan</t>
  </si>
  <si>
    <t>Marquett Gomez, Daniel Enrique</t>
  </si>
  <si>
    <t>Mirabal Cornet, Ana Patricia</t>
  </si>
  <si>
    <t>Superintendente de Contabilidad</t>
  </si>
  <si>
    <t>Orosco Oordoñez, Randy Jose</t>
  </si>
  <si>
    <t>E.a.b Presupuesto y Costo</t>
  </si>
  <si>
    <t>Supv. de Presupuesto y Costo</t>
  </si>
  <si>
    <t>Jimenez A., Carlos</t>
  </si>
  <si>
    <t>Analista de Planif. y Control de Gestion</t>
  </si>
  <si>
    <t>Maicán Micet, Cesar Jose</t>
  </si>
  <si>
    <t>Guilarte Cisnero, Esteban Rafael</t>
  </si>
  <si>
    <t>Especialista de Docum. y Permisologia</t>
  </si>
  <si>
    <t>Cedeño Guerra, Marcos</t>
  </si>
  <si>
    <t>Tecnico de Logistica de Materiales</t>
  </si>
  <si>
    <t>Carrillo B, Armando Rafael</t>
  </si>
  <si>
    <t>Guzmán Sucre, Gerardo Humberto</t>
  </si>
  <si>
    <t>Marin Guacaran, Jose</t>
  </si>
  <si>
    <t>Zane Arzolay, Alez Jose</t>
  </si>
  <si>
    <t>E.a.a Contabilidad</t>
  </si>
  <si>
    <t>La Paz, Francisco Antonio</t>
  </si>
  <si>
    <t>Barrios M., Luis  A.</t>
  </si>
  <si>
    <t>Albornoz, Cristina Mercedes</t>
  </si>
  <si>
    <t>Asesor de Relaciones Laborales</t>
  </si>
  <si>
    <t>B.b Sistemas y Telecomunicaciones</t>
  </si>
  <si>
    <t>Analista de Sistemas y Telecomunicacion</t>
  </si>
  <si>
    <t>Rosales S, Emilia Del Carmen</t>
  </si>
  <si>
    <t>Madrigal Calderon, Juan</t>
  </si>
  <si>
    <t>Boada Arenas, Frank</t>
  </si>
  <si>
    <t>Acosta E, Jaime J</t>
  </si>
  <si>
    <t>Arias E, Samuel</t>
  </si>
  <si>
    <t>Mujica Mata, José Jesus</t>
  </si>
  <si>
    <t>García, Danny</t>
  </si>
  <si>
    <t>Pérez Barillas, María Bertha</t>
  </si>
  <si>
    <t>Azocar Olivares, Reinaldo Adolfo</t>
  </si>
  <si>
    <t>Supv. de Sistemas de Refrigeracion y AA</t>
  </si>
  <si>
    <t>Caldera Loaiza, Nestor Alonzo</t>
  </si>
  <si>
    <t>Olano, Javier</t>
  </si>
  <si>
    <t>E.b.b Tesoreria</t>
  </si>
  <si>
    <t>Villalba Castañeda, Daniel</t>
  </si>
  <si>
    <t>Lugo Gonzalez, Jhonny Jose</t>
  </si>
  <si>
    <t>Patiño Trujillo, Edwin Luis</t>
  </si>
  <si>
    <t>Ospedales G., Lenny J.</t>
  </si>
  <si>
    <t>Brizuela Rodriguez, Eduardo Luis</t>
  </si>
  <si>
    <t>Obregón G, Elias</t>
  </si>
  <si>
    <t>González J., Richard E.</t>
  </si>
  <si>
    <t>Cazorla Fuentes, Armir Arturo</t>
  </si>
  <si>
    <t>Vilchez M., Carlos J.</t>
  </si>
  <si>
    <t>Marmol Rodriguez, Leandro E.</t>
  </si>
  <si>
    <t>Rondon Hernandez, Luis</t>
  </si>
  <si>
    <t>Marquez Quero, Alfonzo</t>
  </si>
  <si>
    <t>Zurita Marquez, Francisco Javier</t>
  </si>
  <si>
    <t>Valdez Gutierrez, Arturo Jose</t>
  </si>
  <si>
    <t>Castellano P., Jorge</t>
  </si>
  <si>
    <t>Maestre Salaya, Asdrubal Jose</t>
  </si>
  <si>
    <t>Gamboa C, Osmar</t>
  </si>
  <si>
    <t>Ospina Ruiz, Luis Arturo</t>
  </si>
  <si>
    <t>Inspector de Instrumentación</t>
  </si>
  <si>
    <t>Analista de Planes y Beneficios</t>
  </si>
  <si>
    <t>González Aranguren, Wilbeth Santiego</t>
  </si>
  <si>
    <t>Martinez Calderon, Jesus</t>
  </si>
  <si>
    <t>Espinoza R., Gabriel J.</t>
  </si>
  <si>
    <t>Cedeño Morales, Luis Carlos</t>
  </si>
  <si>
    <t>Castillos Vallenilla, Carlos Eduardo</t>
  </si>
  <si>
    <t>Figuera Solorzano, Luis Eduardo</t>
  </si>
  <si>
    <t>Analista de Control de Gastos</t>
  </si>
  <si>
    <t>Gago Villarroel, Yelitza Gabriela</t>
  </si>
  <si>
    <t>Bermudez Escalona, Branger</t>
  </si>
  <si>
    <t>Quijada Carrasquero, Carlos</t>
  </si>
  <si>
    <t>D´Ambrosio Marcozzi, Natalia</t>
  </si>
  <si>
    <t>Ortiz Abreu, Jose Rafael</t>
  </si>
  <si>
    <t>Sanchez Cedeño, Rossana</t>
  </si>
  <si>
    <t>Higienista Ocupacional</t>
  </si>
  <si>
    <t>Guerra S., Ismael A.</t>
  </si>
  <si>
    <t>Chaban Paredes, Omar Yamil</t>
  </si>
  <si>
    <t>Superintendente Aseguram. de Calidad</t>
  </si>
  <si>
    <t>Barrios Amesty, Robert A.</t>
  </si>
  <si>
    <t>Salcedo R, Carlos</t>
  </si>
  <si>
    <t>Supervisor de Confiab. de Instrument.</t>
  </si>
  <si>
    <t>Mirena Guillen, Julio Cesar</t>
  </si>
  <si>
    <t>Casares N, Ulises</t>
  </si>
  <si>
    <t>Analista Predictivo Electricidad</t>
  </si>
  <si>
    <t>Trebol F., Gladianne</t>
  </si>
  <si>
    <t>Secretaria Comision de Contratos</t>
  </si>
  <si>
    <t>Yaguaracuto Maraima, Pablo Jesus</t>
  </si>
  <si>
    <t>Calvo Campos, Karen Mirbet</t>
  </si>
  <si>
    <t>Graffe Becerra, Julian</t>
  </si>
  <si>
    <t>Guarata Garcia, Eduardo</t>
  </si>
  <si>
    <t>Tovar Medina, Omar</t>
  </si>
  <si>
    <t>Ing. de Mtto. y Obras Civiles</t>
  </si>
  <si>
    <t>Cisnero S, Lorena</t>
  </si>
  <si>
    <t>Lara Pacheco, Griddys</t>
  </si>
  <si>
    <t>Gonzalez Arce, Ana Teresa</t>
  </si>
  <si>
    <t>Analista de Impuestos</t>
  </si>
  <si>
    <t>Villarroel Rondon, Jeancarlos Antonio</t>
  </si>
  <si>
    <t>Pantoja Acosta, Demys</t>
  </si>
  <si>
    <t>Capote, Pedro</t>
  </si>
  <si>
    <t>Reserva Estrategica</t>
  </si>
  <si>
    <t>Bonilla Cedeño, Fernando Jose</t>
  </si>
  <si>
    <t>Gil Labady, Alfonso Miguel</t>
  </si>
  <si>
    <t>Rojas S., Jesus R.</t>
  </si>
  <si>
    <t>Colina Renauld, Jose Jesus</t>
  </si>
  <si>
    <t>Reyes B, Mariano</t>
  </si>
  <si>
    <t>Algarin Indriago, Miguel Gabriel</t>
  </si>
  <si>
    <t>Allen Armas, José</t>
  </si>
  <si>
    <t>Crespo  Guerrero, Yoselyn Del Carmen</t>
  </si>
  <si>
    <t>Ing. de Planta - Electric. e Instrumenta</t>
  </si>
  <si>
    <t>Diaz M, Diana Rubnayret</t>
  </si>
  <si>
    <t>Alen Velasquez, Anthony Jesus</t>
  </si>
  <si>
    <t>Beltrán M., José R.</t>
  </si>
  <si>
    <t>Diaz Camacho, Rosmery</t>
  </si>
  <si>
    <t>Gerdel, Yorelis</t>
  </si>
  <si>
    <t>Guevara Lopez, Andrea Del Valle</t>
  </si>
  <si>
    <t>Supervisor de Contabilidad</t>
  </si>
  <si>
    <t>Villegas Carrillo, Carmen Neritza</t>
  </si>
  <si>
    <t>Herrera Vasquez, Ricardo Antonio</t>
  </si>
  <si>
    <t>Perez Osorio, Josue Daniel</t>
  </si>
  <si>
    <t>Villasmil Silva, Marielisa</t>
  </si>
  <si>
    <t>Analista de Asuntos Publicos</t>
  </si>
  <si>
    <t>Paredes S, Juan Alejandro</t>
  </si>
  <si>
    <t>Pardo Villafranca, Alejandra Maria</t>
  </si>
  <si>
    <t>Gutierrez Morillo, Christian Glenn</t>
  </si>
  <si>
    <t>Analista de Pagos</t>
  </si>
  <si>
    <t>Castillo Gonzalez, Jose Antonio</t>
  </si>
  <si>
    <t>Analista Ppto/Costo</t>
  </si>
  <si>
    <t>Torrealba Lamas, Maria Valeria</t>
  </si>
  <si>
    <t>Ingeniero de Corrosion</t>
  </si>
  <si>
    <t>Paulo China, Armando Daniel</t>
  </si>
  <si>
    <t>Analista de Insfraestructura y Soporte</t>
  </si>
  <si>
    <t>Noya Hernandez, Cesar</t>
  </si>
  <si>
    <t>Portillo Moran, Daniela</t>
  </si>
  <si>
    <t>Ortega Bastardo, Lucy</t>
  </si>
  <si>
    <t>Analista de Tesoreria</t>
  </si>
  <si>
    <t>Parucho Aricaguan, Erik Jose</t>
  </si>
  <si>
    <t>Marquett Rodriguez, Jose</t>
  </si>
  <si>
    <t>Vaca R, Norvis Jonathan</t>
  </si>
  <si>
    <t>Perez Briceño, Lennyz Del Carmen</t>
  </si>
  <si>
    <t>Analista Proyecto Sap</t>
  </si>
  <si>
    <t>Gonzalez Mediano, Rainiero Enrique</t>
  </si>
  <si>
    <t>Rojas Moreno, George Gerardo</t>
  </si>
  <si>
    <t>Analista de Sist.  Integral de Gestion</t>
  </si>
  <si>
    <t>Marques F, Jorge</t>
  </si>
  <si>
    <t>Soto, Daniel Eduardo</t>
  </si>
  <si>
    <t>Osorio Solari, Sebastian Alejandro</t>
  </si>
  <si>
    <t>Martinez Abreu, Martha A.</t>
  </si>
  <si>
    <t>Rodriguez Ruby, Orlando</t>
  </si>
  <si>
    <t>Gomez Herrera, Pedro</t>
  </si>
  <si>
    <t>Carpio, Gabriel Alexis</t>
  </si>
  <si>
    <t>Linero Acosta, Guillermo Enrique</t>
  </si>
  <si>
    <t>Prepo Freites, Jose Jesus</t>
  </si>
  <si>
    <t>Guzman Albornoz, Carlos</t>
  </si>
  <si>
    <t>Ocando Saavedra, Junior Arcadio</t>
  </si>
  <si>
    <t>Muñoz A, Lorena Elena</t>
  </si>
  <si>
    <t>Mendoza Sanchez, Jessica Antonieta</t>
  </si>
  <si>
    <t>Analista de Gestion de Mantenimiento</t>
  </si>
  <si>
    <t>Ojeda O, Alonso</t>
  </si>
  <si>
    <t>Parra Canelon, Anthony Vincent</t>
  </si>
  <si>
    <t>Rojas R., Ricardo</t>
  </si>
  <si>
    <t>Medina Q., Jhonnel J.</t>
  </si>
  <si>
    <t>Padrón Aguilar, Moisés</t>
  </si>
  <si>
    <t>Alvarado Ramos, Moises de Jesus</t>
  </si>
  <si>
    <t>Urribarri Molero, Jairo</t>
  </si>
  <si>
    <t>Tecnico Mayor Mantto. Mecanico</t>
  </si>
  <si>
    <t>Rodriguez Rivas, Andrea Gabriela</t>
  </si>
  <si>
    <t>Becerrit Plaza, Hector Luis</t>
  </si>
  <si>
    <t>Rodriguez Castillo, Reinaldo Jose</t>
  </si>
  <si>
    <t>Leon Battisti, Jesus</t>
  </si>
  <si>
    <t>Reyes G., Juan</t>
  </si>
  <si>
    <t>Morales Piedrasanta, Julio</t>
  </si>
  <si>
    <t>Mariño Rodriguez, Hector</t>
  </si>
  <si>
    <t>Marques F, Leonardo Enrique</t>
  </si>
  <si>
    <t>Arteaga L., Gabriel</t>
  </si>
  <si>
    <t>Silva C, Luis</t>
  </si>
  <si>
    <t>Trebol F., Juanivan F.</t>
  </si>
  <si>
    <t>Guerra Chanchamire, Liz Marie</t>
  </si>
  <si>
    <t>Macayo P., Orlando</t>
  </si>
  <si>
    <t>Rivero B., José R.</t>
  </si>
  <si>
    <t>Ramirez Cedeño, Karelys Carolina</t>
  </si>
  <si>
    <t>Hernandez Yeguez, Argenis Rafael</t>
  </si>
  <si>
    <t>Villazana Aponte, Alvaro Jose</t>
  </si>
  <si>
    <t>Guerra B., Mayerly S.</t>
  </si>
  <si>
    <t>Luna Rios, Edgar</t>
  </si>
  <si>
    <t>Gonzalez Lopez, Gercy Moises</t>
  </si>
  <si>
    <t>Mata Rodriguez, Carmen</t>
  </si>
  <si>
    <t>Dos Santos A., Eder J.</t>
  </si>
  <si>
    <t>Chourio Vasquez, Angel Luis</t>
  </si>
  <si>
    <t>Avila Figuera, Victor</t>
  </si>
  <si>
    <t>Hurtado Gonzalez, Jairo Segundo</t>
  </si>
  <si>
    <t>Serna Piedrahita, Sergio</t>
  </si>
  <si>
    <t>Ramirez A, Rafael Aquiles</t>
  </si>
  <si>
    <t>Gomez Perez, Genesis</t>
  </si>
  <si>
    <t>Colmenares B., José H.</t>
  </si>
  <si>
    <t>Rangel A., Genesis</t>
  </si>
  <si>
    <t>Carreño Ponce, Anais</t>
  </si>
  <si>
    <t>Diez V., Raul A.</t>
  </si>
  <si>
    <t>Posición</t>
  </si>
  <si>
    <t>Tipo de Contrato</t>
  </si>
  <si>
    <t>Mantenimiento</t>
  </si>
  <si>
    <t>LISTADO AL:</t>
  </si>
  <si>
    <t>LISTADO DE PERSONAL PROPIO FERTINITRO / SEGÚN ESTRUCTURA ORGANIZATIVA</t>
  </si>
  <si>
    <t>TOTAL TRABAJADORES FERTINITRO:</t>
  </si>
  <si>
    <t>Trabajadores en este Grupo:</t>
  </si>
  <si>
    <t>Nro CI</t>
  </si>
  <si>
    <t>Nombre del empleado o candidato</t>
  </si>
  <si>
    <t>Sexo</t>
  </si>
  <si>
    <t>Edad</t>
  </si>
  <si>
    <t>Salario Basico</t>
  </si>
  <si>
    <t>Nomina</t>
  </si>
  <si>
    <t>Horario</t>
  </si>
  <si>
    <t xml:space="preserve">Gerencia u Organización </t>
  </si>
  <si>
    <t>Superintendencia o unidad</t>
  </si>
  <si>
    <t>Fecha Ing.</t>
  </si>
  <si>
    <t>Posición Actual</t>
  </si>
  <si>
    <t>PERSONAL ASIGNADO A FERTINITRO / SEGÚN ESTRUCTURA ORGANIZATIVA</t>
  </si>
  <si>
    <t>CI</t>
  </si>
  <si>
    <t>Nombre del Trabajdor</t>
  </si>
  <si>
    <t>SB</t>
  </si>
  <si>
    <t>Tipo de Nomina</t>
  </si>
  <si>
    <t>Unidad Oragnizativa</t>
  </si>
  <si>
    <t>Fecha Asignacion</t>
  </si>
  <si>
    <t>Jorge Perdomo</t>
  </si>
  <si>
    <t>Asignado PQV</t>
  </si>
  <si>
    <t>Gerencia General</t>
  </si>
  <si>
    <t>Gerente General</t>
  </si>
  <si>
    <t>Lorena Piña</t>
  </si>
  <si>
    <t>Gerencia de Confiabilidad</t>
  </si>
  <si>
    <t>Superint. Confiab. Mecanica</t>
  </si>
  <si>
    <t>Freddy González</t>
  </si>
  <si>
    <t>Gerente Consultoria Juridica</t>
  </si>
  <si>
    <t>Herles Arellano</t>
  </si>
  <si>
    <t>Gerencia IT y PCP</t>
  </si>
  <si>
    <t>Supervisor de PCP</t>
  </si>
  <si>
    <t>Rosa Almeida</t>
  </si>
  <si>
    <t>Supervisor de Desarrollo</t>
  </si>
  <si>
    <t>Lirimar Diaz</t>
  </si>
  <si>
    <t>Gerencia de Comercializacion</t>
  </si>
  <si>
    <t>Superv. Planif. y Control de Gestion</t>
  </si>
  <si>
    <t>Alvaro Ramos</t>
  </si>
  <si>
    <t>Gerente de SHA</t>
  </si>
  <si>
    <t>Danny Hernández</t>
  </si>
  <si>
    <t>Gerente de IT y PCP</t>
  </si>
  <si>
    <t>Gilmary Castellanos</t>
  </si>
  <si>
    <t>Gerencia de Finanzas</t>
  </si>
  <si>
    <t>Superint. de Administracion</t>
  </si>
  <si>
    <t>Ernesto Silva</t>
  </si>
  <si>
    <t>Asignado Metor</t>
  </si>
  <si>
    <t>Coordinador Gerencial</t>
  </si>
  <si>
    <t>Eliecer Medina</t>
  </si>
  <si>
    <t>Gerente de Finanzas</t>
  </si>
  <si>
    <t>General</t>
  </si>
  <si>
    <t>Juridico</t>
  </si>
  <si>
    <t>Tecnica</t>
  </si>
  <si>
    <t>Sha</t>
  </si>
  <si>
    <t>Servicios Generales</t>
  </si>
  <si>
    <t>Confiabilidad</t>
  </si>
  <si>
    <t>RESUMEN GERENCIAL:</t>
  </si>
  <si>
    <t>Salas Ramírez, Antonio</t>
  </si>
  <si>
    <t>Maraima Sarmiento, Marilyn</t>
  </si>
  <si>
    <t>Sifontes A, Onna Luis</t>
  </si>
  <si>
    <t>Sarmiento Henriquez, Leonel</t>
  </si>
  <si>
    <t>Viera De Garcés, Karol</t>
  </si>
  <si>
    <t>Gerente de Servicios Generales</t>
  </si>
  <si>
    <t>De Sousa Ortiz, Jose</t>
  </si>
  <si>
    <t>Sanvicente Noriega, Yelitza</t>
  </si>
  <si>
    <t>Meza Hernández, Elianeth</t>
  </si>
  <si>
    <t>Maestre Martínez, Mary</t>
  </si>
  <si>
    <t>Gamardo, Luis</t>
  </si>
  <si>
    <t>Luzardo Vera, Victor</t>
  </si>
  <si>
    <t>Mata Bastardo, Justino</t>
  </si>
  <si>
    <t>Benitez La Cruz, Illaris</t>
  </si>
  <si>
    <t>Supervisor de Servicios al Personal</t>
  </si>
  <si>
    <t>Ramos Villalobos, María</t>
  </si>
  <si>
    <t>G.b Superintendencia de Procesos</t>
  </si>
  <si>
    <t>G.c Superintendencia de Ing. de Planta</t>
  </si>
  <si>
    <t>Merchan Serrano, Sobeida</t>
  </si>
  <si>
    <t>GONZALEZ CAMACHO, ISRAEL DE JESUS</t>
  </si>
  <si>
    <t>Planificador de Gestion SHA</t>
  </si>
  <si>
    <t>Superintendente de Mtto Electrico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</si>
  <si>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</si>
  <si>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</si>
  <si>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</si>
  <si>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</si>
  <si>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</si>
  <si>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</si>
  <si>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</si>
  <si>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</si>
  <si>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</si>
  <si>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</si>
  <si>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</si>
  <si>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</si>
  <si>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</si>
  <si>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</si>
  <si>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X</t>
  </si>
  <si>
    <t>MALAVE TINEO, RAQUEL DEL VALLE</t>
  </si>
  <si>
    <t>Marin Rodriguez, Carmen Amelia</t>
  </si>
  <si>
    <t>Barrios Pérez, Jose Antonio</t>
  </si>
  <si>
    <t>Velásquez Martínez, Vitelio José</t>
  </si>
  <si>
    <t>Urbano Alloca, Luis Eduardo</t>
  </si>
  <si>
    <t>Narváez Velásquez, Dioeduar Jose</t>
  </si>
  <si>
    <t>Díaz Lucena, Luis Rene</t>
  </si>
  <si>
    <t>Tarache Toledo, Carlos Alberto</t>
  </si>
  <si>
    <t>Rojas Moya, Jose Gregorio</t>
  </si>
  <si>
    <t>Gerente Técnico</t>
  </si>
  <si>
    <t>Lider de Mantto UREA</t>
  </si>
  <si>
    <t>Sptte de Mtto Mec Amoniaco y Servicios</t>
  </si>
  <si>
    <t>Técnico Mayor Maquinado y Especialidades</t>
  </si>
  <si>
    <t>Tecnico Equipos Criticos</t>
  </si>
  <si>
    <t>Técnico Mayor Herram. y Equipos Pesados</t>
  </si>
  <si>
    <t>Tecnico Menor Herram y Equipos Pesados</t>
  </si>
  <si>
    <t>Auxiliar de Electricista SP</t>
  </si>
  <si>
    <t>Coordinador de Instrumentacion</t>
  </si>
  <si>
    <t>Coord. Control de Procesos</t>
  </si>
  <si>
    <t>Superint Instrum. y Control de Procesos</t>
  </si>
  <si>
    <t>Controlador de Obras</t>
  </si>
  <si>
    <t>Planificador taller y Control Gestion</t>
  </si>
  <si>
    <t>Planificador Servicios</t>
  </si>
  <si>
    <t>Rodríguez Prado, Anderson Edward</t>
  </si>
  <si>
    <t>Lider Control de Obras</t>
  </si>
  <si>
    <t>Gimenez Leal, Elvis</t>
  </si>
  <si>
    <t>Supervisor de Compras Rutinarias</t>
  </si>
  <si>
    <t>Supervisor de Tesoreria</t>
  </si>
  <si>
    <t>Cabrera Marín, Jesús Gregorio</t>
  </si>
  <si>
    <t>Pereira Arreaza, Enuel</t>
  </si>
  <si>
    <t>Mendoza, Alberto Jose</t>
  </si>
  <si>
    <t>Silva Díaz, Aliscar José</t>
  </si>
  <si>
    <t>Guevara Silva, Nolasco Jose</t>
  </si>
  <si>
    <t>Pinto Perez, Rosa</t>
  </si>
  <si>
    <t>Analista de Servicios Generales</t>
  </si>
  <si>
    <t>Analista de SSGG</t>
  </si>
  <si>
    <t>Sánchez Rivero, Kevelin Crist</t>
  </si>
  <si>
    <t>Gutiérrez, Emiliano Rafael</t>
  </si>
  <si>
    <t>Martinez Reyes, Sol Juliana</t>
  </si>
  <si>
    <t>Gutiérrez Díaz, Ana Cecilia</t>
  </si>
  <si>
    <t>Maraima J., Kendi A.</t>
  </si>
  <si>
    <t>Planificador UREA</t>
  </si>
  <si>
    <t>Coord. Proyectos  Mecanica / Civil</t>
  </si>
  <si>
    <t>Coord. Proyectos Mecanica / Civil</t>
  </si>
  <si>
    <t>Xiolimara Guzman</t>
  </si>
  <si>
    <t>Gerencia Tecnica</t>
  </si>
  <si>
    <t>Superint. de Ing, y Proyectos</t>
  </si>
  <si>
    <t>Gerencia Legal</t>
  </si>
  <si>
    <t>Gerencia RRHH</t>
  </si>
  <si>
    <t>Gerencia Sha</t>
  </si>
  <si>
    <t>Bauza Caraballo, Jossué</t>
  </si>
  <si>
    <t>Maldonado Mora, Andreina del Carmen</t>
  </si>
  <si>
    <t>Bolivar Gimenez, John</t>
  </si>
  <si>
    <t>Técnico Mayor de Valvulas</t>
  </si>
  <si>
    <t>Brito Noriega, Erasmo José</t>
  </si>
  <si>
    <t>Medina Bastidas, Cristal Emilia</t>
  </si>
  <si>
    <t>Rodríguez Vásquez, Ghinna Carolina</t>
  </si>
  <si>
    <t>Benitez Guacarán, Javier Eduardo</t>
  </si>
  <si>
    <t>Cirilo Ruiz, Adrian</t>
  </si>
  <si>
    <t>Gomez Torrealba, Alvaro Jose</t>
  </si>
  <si>
    <t>Hernández Acevedo, Luis Enrique</t>
  </si>
  <si>
    <t>Plaza, Gorgen Elías</t>
  </si>
  <si>
    <t>Suárez Suárez, René Efrain</t>
  </si>
  <si>
    <t>Rueda Guarata, Francisco Antonio</t>
  </si>
  <si>
    <t>A Gerencia General</t>
  </si>
  <si>
    <t>Asistente Administrativo</t>
  </si>
  <si>
    <t>Supv.  Infraestructura y Soporte Usuario</t>
  </si>
  <si>
    <t>León O., Ricardo A.</t>
  </si>
  <si>
    <t>Guerrero Morales, Gerardo Antonio</t>
  </si>
  <si>
    <t>MARQUÉZ TORRES, CLAUDIO</t>
  </si>
  <si>
    <t>REYES MANZANO, RAUL</t>
  </si>
  <si>
    <t>Salazar Rivera, Cesar</t>
  </si>
  <si>
    <t>Lider de Planificacion</t>
  </si>
  <si>
    <t>Supervisor de Compras</t>
  </si>
  <si>
    <t>Nagee Medina, Rashed</t>
  </si>
  <si>
    <t>Determinado</t>
  </si>
  <si>
    <t>Indeterminado</t>
  </si>
  <si>
    <t>Hugo Barros</t>
  </si>
  <si>
    <t>Parada de Planta</t>
  </si>
  <si>
    <t>CARVAJAL ALFONZO, CRUZ</t>
  </si>
  <si>
    <t>Salazar Maestre, Carlos Eduardo</t>
  </si>
  <si>
    <t>Perez Camacho, Danilo</t>
  </si>
  <si>
    <t>Maestre Maestre, Gabriel José</t>
  </si>
  <si>
    <t>Blanco Martinez, José Angel</t>
  </si>
  <si>
    <t>PEREZ CORTESIA, ANNA   JOSE</t>
  </si>
  <si>
    <t>Supervisor de Ing. de Planta</t>
  </si>
  <si>
    <t>Sifontes Saballo, Iván Rafael</t>
  </si>
  <si>
    <t>Ramírez Serrano, Milagros Carolina</t>
  </si>
  <si>
    <t>Morán Carrera, Alcides José</t>
  </si>
  <si>
    <t>Supervisor de Servicios Generales</t>
  </si>
  <si>
    <t>Sequera Linares, Nelson José</t>
  </si>
  <si>
    <t>Técnico Mayor Equipos Criticos</t>
  </si>
  <si>
    <t>Técnico Mayor Lubricacion</t>
  </si>
  <si>
    <t>REVILLA JIMENEZ, TUBALCAIN</t>
  </si>
  <si>
    <t>Supervisor Planificacion de Materiales</t>
  </si>
  <si>
    <t>Rivas Cabrera, José Daniel</t>
  </si>
  <si>
    <t>F Gerencia de Operaciones</t>
  </si>
  <si>
    <t>Gerente de Operaciones</t>
  </si>
  <si>
    <t>Flores Mora, Grisangel</t>
  </si>
  <si>
    <t>Rojas González, Vianey Ramón</t>
  </si>
  <si>
    <t>Morillo Arteaga, Argenis Rafael</t>
  </si>
  <si>
    <t>Sanabria García, Lionard Agustín</t>
  </si>
  <si>
    <t>Castillo González, José Gregorio</t>
  </si>
  <si>
    <t>Díaz Herrera, Daniel Alejandro</t>
  </si>
  <si>
    <t>Trujillo Barrios, Carlos</t>
  </si>
  <si>
    <t>F.d Superintendencia Manejo de Productos</t>
  </si>
  <si>
    <t>Ron Chacin, Reinaldo Jose</t>
  </si>
  <si>
    <t>Rincones Gómez, Joel Antonio</t>
  </si>
  <si>
    <t>Gómez Muñoz, Gustavo José</t>
  </si>
  <si>
    <t>Rivera Figueroa, Joselin Saharai</t>
  </si>
  <si>
    <t>K Gerencia de Confiabilidad</t>
  </si>
  <si>
    <t>Gerente de Confiabilidad</t>
  </si>
  <si>
    <t>Hernández Semprum, Elías Alfredo</t>
  </si>
  <si>
    <t>Supervisor de Equipos Rotativos</t>
  </si>
  <si>
    <t>M Gcia Suminitros de Bienes y Servicios</t>
  </si>
  <si>
    <t>Gte de Suministros de Bienes y Servicios</t>
  </si>
  <si>
    <t>Gte Pdas de Planta y Proyectos Mayores</t>
  </si>
  <si>
    <t>Pda. Planta y Proyectos Mayores</t>
  </si>
  <si>
    <t>Suministro de Bienes y Servicios</t>
  </si>
  <si>
    <t>Logistica y Despacho</t>
  </si>
  <si>
    <t>Operaciones</t>
  </si>
  <si>
    <t>Analista de Trafico y Aduanas</t>
  </si>
  <si>
    <t>M.d Almacen</t>
  </si>
  <si>
    <t>M.e Planificacion de Materiales</t>
  </si>
  <si>
    <t>M.f Contrataciones</t>
  </si>
  <si>
    <t>M.c Trafico y Aduanas</t>
  </si>
  <si>
    <t>Superintendente de Manejo de Productos</t>
  </si>
  <si>
    <t>Marin Urriola, Victor Alfonzo</t>
  </si>
  <si>
    <t>CHARAMA TONITO, ALBA</t>
  </si>
  <si>
    <t>Borjas Azocar, Luis</t>
  </si>
  <si>
    <t>H.a Superintendencia Seg. Industrial</t>
  </si>
  <si>
    <t>Superintendente Seguridad Industrial</t>
  </si>
  <si>
    <t>H.b Superintendencia Amb. Hig. Ocupac.</t>
  </si>
  <si>
    <t>I Gerencia de Logistica y Despacho</t>
  </si>
  <si>
    <t>Despachador de UREA Terrestre</t>
  </si>
  <si>
    <t>Gerente de Logistica y Despacho</t>
  </si>
  <si>
    <t>Planificador de Logistica y Despacho</t>
  </si>
  <si>
    <t>Aray Rodríguez, Ángel Francisco</t>
  </si>
  <si>
    <t>J Gerencia de Mantenimiento</t>
  </si>
  <si>
    <t>J.a Superint. Mantto. Mec. Urea y Logist</t>
  </si>
  <si>
    <t>J.a.a Mecanica</t>
  </si>
  <si>
    <t>J.b Superint. Mantto. Mec. Amoniaco Serv</t>
  </si>
  <si>
    <t>J.c Superint. Mantto. Mecánico  Taller</t>
  </si>
  <si>
    <t>Lezama Maco, Pedro Saul</t>
  </si>
  <si>
    <t>J.d Superintendencia Mantto Eléctrico</t>
  </si>
  <si>
    <t>J.e Sperint. Instrum. y Control Procesos</t>
  </si>
  <si>
    <t>J.e.a Instrumentacion</t>
  </si>
  <si>
    <t>J.e.b Automatizacion y Control</t>
  </si>
  <si>
    <t>J.f Superintend Mantto Planificacion</t>
  </si>
  <si>
    <t>L Gcia Pdas Planta y Proyectos Mayores</t>
  </si>
  <si>
    <t>L.a Superintendencia Paradas de Planta</t>
  </si>
  <si>
    <t>L.b Superintendencia Proyectos Mayores</t>
  </si>
  <si>
    <t>Montaner Amaiz, Marianny Josefina</t>
  </si>
  <si>
    <t>N Gerencia de Servicios Generales</t>
  </si>
  <si>
    <t>N.a Servicios al Personal</t>
  </si>
  <si>
    <t>N.b Servicios Generales</t>
  </si>
  <si>
    <t>Mata Torres, Luis</t>
  </si>
  <si>
    <t>N.c Mantenimiento de Edificaciones</t>
  </si>
  <si>
    <t>N.d Sistemas de Refrigeracion A/A</t>
  </si>
  <si>
    <t>Lira Rodríguez, José Roberto</t>
  </si>
  <si>
    <t>Centeno Guerra, Douglas Rafael</t>
  </si>
  <si>
    <t>Analista de Archivo Tecnico</t>
  </si>
  <si>
    <t>Vargas Amundaray, Yuberly</t>
  </si>
  <si>
    <t>Analista de Resp y Control de Emergencia</t>
  </si>
  <si>
    <t>Camacho De Gómez, Marianela</t>
  </si>
  <si>
    <t>Velásquez De Viera, Yurbris Miguelina</t>
  </si>
  <si>
    <t>Superintendente Amb. Hig. Ocupacional</t>
  </si>
  <si>
    <t>Castillo Maracay, Ramsés Antonio</t>
  </si>
  <si>
    <t>Salazar Gudiño, Mayebi</t>
  </si>
  <si>
    <t>K.b Suptcia. de Conf. Mecanica</t>
  </si>
  <si>
    <t>Herrera Alvarez, Felix</t>
  </si>
  <si>
    <t>Aprendices</t>
  </si>
  <si>
    <t>X Pasantes, Tesistas y Aprendices INCE</t>
  </si>
  <si>
    <t>Aprendiz INCE</t>
  </si>
  <si>
    <t>Galindo Brito, Lorena</t>
  </si>
  <si>
    <t>FEBRES LEIVA, YULIEXIS</t>
  </si>
  <si>
    <t>Guerra Benavide, Manuel</t>
  </si>
  <si>
    <t>Ortega Castillo, María José</t>
  </si>
  <si>
    <t>Goita Mendez, Rosangel Jose</t>
  </si>
  <si>
    <t>GRANADO SALAZAR, MARIANGEL</t>
  </si>
  <si>
    <t>Pino Figueroa, Josue David</t>
  </si>
  <si>
    <t>Golindano Díaz, Yohander</t>
  </si>
  <si>
    <t>Castro Rojas, Sarah de Jesús</t>
  </si>
  <si>
    <t>Gil Monteverde, José</t>
  </si>
  <si>
    <t>RODRIGUEZ HERNANDEZ, ALEXANDRA</t>
  </si>
  <si>
    <t>Galban Astudillo, Maria Paula</t>
  </si>
  <si>
    <t>Díaz Carrasco, Lorenzo Enrique</t>
  </si>
  <si>
    <t>Castillo Salazar, Jesus Alberto</t>
  </si>
  <si>
    <t>Pasantes y Tesistas</t>
  </si>
  <si>
    <t>PASANTE TSU</t>
  </si>
  <si>
    <t>Sambrano Martínez, Mauricio José</t>
  </si>
  <si>
    <t>Pasante Universitario</t>
  </si>
  <si>
    <t>Andrade Faria, Genesis Carolina</t>
  </si>
  <si>
    <t>HART ISAZA, ADRIANA CAROLINA</t>
  </si>
  <si>
    <t>BONILLO COLINA, CARYEN</t>
  </si>
  <si>
    <t>Araguainamo Hernández, Jesús Adolfo</t>
  </si>
  <si>
    <t>Lara Vallejo, Javier</t>
  </si>
  <si>
    <t>Espinoza Serrano, Luis Rafael</t>
  </si>
  <si>
    <t>PERSONAL APRENDICES Y PASANTES FERTINITRO</t>
  </si>
  <si>
    <t>Ingeniero de Reserva Estrategica</t>
  </si>
  <si>
    <t>Analista de Control de Contratos</t>
  </si>
  <si>
    <t>Ogliastri Barrios, Luis Idelfonso</t>
  </si>
  <si>
    <t>Ingeniero de Conf. Mecanica</t>
  </si>
  <si>
    <t>Supte. de Conf. de Equipos Estaticos</t>
  </si>
  <si>
    <t>Analista de Flota de Vehiculos</t>
  </si>
  <si>
    <t>Salazar Suarez, Diana Carolina</t>
  </si>
  <si>
    <t>Negrón Salazar, Keila de Jesús</t>
  </si>
  <si>
    <t>Planificador</t>
  </si>
  <si>
    <t>Planificador de Almacen</t>
  </si>
  <si>
    <t>Asignados a PQV</t>
  </si>
  <si>
    <t>Asignados a Otras Dependencias</t>
  </si>
  <si>
    <t>Salazar Lucena, Mayrelis Dayanna</t>
  </si>
  <si>
    <t>Tovar Marcano, Roberto Carlos</t>
  </si>
  <si>
    <t>Informatica y Tecnologia</t>
  </si>
  <si>
    <t>A.a Planificacion y Control de Gestion</t>
  </si>
  <si>
    <t>A.b Prevencion y Control de Perdidas</t>
  </si>
  <si>
    <t>Willians Gonzalez</t>
  </si>
  <si>
    <t>Reyes Barreto, Judith del Valle</t>
  </si>
  <si>
    <t>B.c Proyecto SAP</t>
  </si>
  <si>
    <t>Suniaga Marín, Juan</t>
  </si>
  <si>
    <t>Rodríguez Rondón, Eduard</t>
  </si>
  <si>
    <t>Marquett Carreño, Alejandro</t>
  </si>
  <si>
    <t>Yaguaraty Duque, Celestino</t>
  </si>
  <si>
    <t>Reyes Lozano, Jorge</t>
  </si>
  <si>
    <t>Guarepe Sifontes, José Rafael</t>
  </si>
  <si>
    <t>Técnico Mayor de Sellos Mecanicos</t>
  </si>
  <si>
    <t>Arredondo Ruíz, Diego</t>
  </si>
  <si>
    <t>Superintendente de Parada de Planta</t>
  </si>
  <si>
    <t>Rodríguez Reyes, Dalibel</t>
  </si>
  <si>
    <t>Rivas Rosales, Dayana</t>
  </si>
  <si>
    <t>Técnico Mayor de Refrigeracion y A/A</t>
  </si>
  <si>
    <t>X Personal Asignados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</si>
</sst>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14" x14ac:knownFonts="1">
    <font>
      <sz val="10"/>
      <name val="Arial"/>
    </font>
    <font>
      <sz val="10"/>
      <name val="Arial"/>
      <family val="2"/>
    </font>
    <font>
      <b/>
      <sz val="10"/>
      <color theme="0"/>
      <name val="Arial"/>
      <family val="2"/>
    </font>
    <font>
      <u/>
      <sz val="2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u/>
      <sz val="10"/>
      <name val="Arial"/>
      <family val="2"/>
    </font>
    <font>
      <sz val="18"/>
      <name val="Arial"/>
      <family val="2"/>
    </font>
    <font>
      <sz val="22"/>
      <color theme="0"/>
      <name val="Arial"/>
      <family val="2"/>
    </font>
    <font>
      <b/>
      <sz val="11"/>
      <color theme="0"/>
      <name val="Arial"/>
      <family val="2"/>
    </font>
    <font>
      <b/>
      <sz val="14"/>
      <color theme="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69">
    <xf numFmtId="0" fontId="0" fillId="0" borderId="0" xfId="0" applyAlignment="1">
      <alignment vertical="top"/>
    </xf>
    <xf numFmtId="2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0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horizontal="left" vertical="top"/>
    </xf>
    <xf numFmtId="0" fontId="5" fillId="0" borderId="0" xfId="0" applyFont="1" applyAlignment="1">
      <alignment vertical="top"/>
    </xf>
    <xf numFmtId="0" fontId="2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 vertical="center"/>
    </xf>
    <xf numFmtId="0" fontId="1" fillId="0" borderId="0" xfId="1" applyAlignment="1">
      <alignment vertical="top"/>
    </xf>
    <xf numFmtId="0" fontId="1" fillId="0" borderId="0" xfId="1" applyAlignment="1">
      <alignment horizontal="center" vertical="top"/>
    </xf>
    <xf numFmtId="0" fontId="2" fillId="3" borderId="0" xfId="1" applyFont="1" applyFill="1" applyAlignment="1">
      <alignment horizontal="right" vertical="center"/>
    </xf>
    <xf numFmtId="14" fontId="2" fillId="3" borderId="0" xfId="1" applyNumberFormat="1" applyFont="1" applyFill="1" applyAlignment="1">
      <alignment horizontal="center" vertical="center"/>
    </xf>
    <xf numFmtId="0" fontId="3" fillId="0" borderId="0" xfId="1" applyFont="1" applyAlignment="1">
      <alignment vertical="top"/>
    </xf>
    <xf numFmtId="0" fontId="6" fillId="0" borderId="0" xfId="1" applyFont="1" applyAlignment="1">
      <alignment vertical="top"/>
    </xf>
    <xf numFmtId="0" fontId="4" fillId="0" borderId="0" xfId="1" applyFont="1" applyAlignment="1">
      <alignment vertical="top"/>
    </xf>
    <xf numFmtId="0" fontId="4" fillId="0" borderId="0" xfId="1" applyFont="1" applyAlignment="1">
      <alignment horizontal="left" vertical="top"/>
    </xf>
    <xf numFmtId="0" fontId="5" fillId="0" borderId="0" xfId="1" applyFont="1" applyAlignment="1">
      <alignment vertical="top"/>
    </xf>
    <xf numFmtId="0" fontId="1" fillId="2" borderId="1" xfId="1" applyFill="1" applyBorder="1" applyAlignment="1">
      <alignment vertical="top" wrapText="1"/>
    </xf>
    <xf numFmtId="0" fontId="1" fillId="2" borderId="1" xfId="1" applyFill="1" applyBorder="1" applyAlignment="1">
      <alignment vertical="top"/>
    </xf>
    <xf numFmtId="0" fontId="1" fillId="2" borderId="1" xfId="1" applyFill="1" applyBorder="1" applyAlignment="1">
      <alignment horizontal="center" vertical="top" wrapText="1"/>
    </xf>
    <xf numFmtId="0" fontId="1" fillId="2" borderId="1" xfId="1" applyFont="1" applyFill="1" applyBorder="1" applyAlignment="1">
      <alignment vertical="top"/>
    </xf>
    <xf numFmtId="0" fontId="1" fillId="0" borderId="0" xfId="1" applyFont="1" applyAlignment="1">
      <alignment vertical="top"/>
    </xf>
    <xf numFmtId="0" fontId="1" fillId="0" borderId="0" xfId="1" applyNumberFormat="1" applyAlignment="1">
      <alignment vertical="top"/>
    </xf>
    <xf numFmtId="1" fontId="1" fillId="0" borderId="0" xfId="1" applyNumberFormat="1" applyAlignment="1">
      <alignment horizontal="center" vertical="top"/>
    </xf>
    <xf numFmtId="2" fontId="1" fillId="0" borderId="0" xfId="1" applyNumberFormat="1" applyAlignment="1">
      <alignment horizontal="right" vertical="top"/>
    </xf>
    <xf numFmtId="14" fontId="1" fillId="0" borderId="0" xfId="1" applyNumberFormat="1" applyAlignment="1">
      <alignment horizontal="right" vertical="top"/>
    </xf>
    <xf numFmtId="0" fontId="1" fillId="5" borderId="0" xfId="1" applyNumberFormat="1" applyFill="1" applyAlignment="1">
      <alignment vertical="top"/>
    </xf>
    <xf numFmtId="0" fontId="1" fillId="5" borderId="0" xfId="1" applyFill="1" applyAlignment="1">
      <alignment vertical="top"/>
    </xf>
    <xf numFmtId="1" fontId="1" fillId="5" borderId="0" xfId="1" applyNumberFormat="1" applyFill="1" applyAlignment="1">
      <alignment horizontal="center" vertical="top"/>
    </xf>
    <xf numFmtId="2" fontId="1" fillId="5" borderId="0" xfId="1" applyNumberFormat="1" applyFill="1" applyAlignment="1">
      <alignment horizontal="right" vertical="top"/>
    </xf>
    <xf numFmtId="14" fontId="1" fillId="5" borderId="0" xfId="1" applyNumberFormat="1" applyFill="1" applyAlignment="1">
      <alignment horizontal="right" vertical="top"/>
    </xf>
    <xf numFmtId="0" fontId="1" fillId="0" borderId="0" xfId="0" applyFont="1" applyAlignment="1">
      <alignment vertical="top"/>
    </xf>
    <xf numFmtId="0" fontId="2" fillId="4" borderId="1" xfId="0" applyFont="1" applyFill="1" applyBorder="1" applyAlignment="1">
      <alignment vertical="center"/>
    </xf>
    <xf numFmtId="0" fontId="7" fillId="6" borderId="0" xfId="0" applyFont="1" applyFill="1" applyAlignment="1">
      <alignment vertical="top"/>
    </xf>
    <xf numFmtId="0" fontId="0" fillId="7" borderId="0" xfId="0" applyFill="1" applyAlignment="1">
      <alignment vertical="top"/>
    </xf>
    <xf numFmtId="0" fontId="0" fillId="7" borderId="0" xfId="0" applyFill="1" applyAlignment="1">
      <alignment horizontal="right" vertical="top" indent="8"/>
    </xf>
    <xf numFmtId="0" fontId="8" fillId="3" borderId="0" xfId="0" applyFont="1" applyFill="1" applyAlignment="1">
      <alignment horizontal="left" vertical="top" indent="13"/>
    </xf>
    <xf numFmtId="0" fontId="9" fillId="3" borderId="0" xfId="0" applyFont="1" applyFill="1" applyAlignment="1">
      <alignment horizontal="right" vertical="center"/>
    </xf>
    <xf numFmtId="14" fontId="10" fillId="3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horizontal="center" vertical="top"/>
    </xf>
    <xf numFmtId="14" fontId="0" fillId="0" borderId="0" xfId="0" applyNumberFormat="1" applyAlignment="1">
      <alignment vertical="top"/>
    </xf>
    <xf numFmtId="0" fontId="1" fillId="7" borderId="0" xfId="0" applyFont="1" applyFill="1" applyAlignment="1">
      <alignment vertical="top"/>
    </xf>
    <xf numFmtId="0" fontId="11" fillId="0" borderId="0" xfId="0" applyFont="1" applyAlignment="1">
      <alignment horizontal="left" vertical="top"/>
    </xf>
    <xf numFmtId="0" fontId="1" fillId="7" borderId="0" xfId="0" applyFont="1" applyFill="1" applyAlignment="1">
      <alignment horizontal="right" vertical="top" indent="8"/>
    </xf>
    <xf numFmtId="0" fontId="0" fillId="8" borderId="0" xfId="0" applyFill="1" applyAlignment="1">
      <alignment vertical="top"/>
    </xf>
    <xf numFmtId="0" fontId="1" fillId="8" borderId="0" xfId="0" applyFont="1" applyFill="1" applyAlignment="1">
      <alignment vertical="top"/>
    </xf>
    <xf numFmtId="1" fontId="1" fillId="0" borderId="0" xfId="0" applyNumberFormat="1" applyFont="1" applyAlignment="1">
      <alignment horizontal="left" vertical="top"/>
    </xf>
    <xf numFmtId="0" fontId="12" fillId="0" borderId="0" xfId="0" applyFont="1" applyAlignment="1">
      <alignment vertical="top"/>
    </xf>
    <xf numFmtId="3" fontId="0" fillId="0" borderId="0" xfId="0" applyNumberFormat="1" applyAlignment="1">
      <alignment vertical="top"/>
    </xf>
    <xf numFmtId="0" fontId="1" fillId="0" borderId="0" xfId="1" applyAlignment="1">
      <alignment vertical="top"/>
    </xf>
    <xf numFmtId="14" fontId="1" fillId="0" borderId="0" xfId="1" applyNumberFormat="1" applyAlignment="1">
      <alignment vertical="top"/>
    </xf>
    <xf numFmtId="0" fontId="1" fillId="0" borderId="0" xfId="1" applyNumberFormat="1" applyFill="1" applyAlignment="1">
      <alignment vertical="top"/>
    </xf>
    <xf numFmtId="0" fontId="1" fillId="0" borderId="0" xfId="1" applyFill="1" applyAlignment="1">
      <alignment vertical="top"/>
    </xf>
    <xf numFmtId="1" fontId="1" fillId="0" borderId="0" xfId="1" applyNumberFormat="1" applyFill="1" applyAlignment="1">
      <alignment horizontal="center" vertical="top"/>
    </xf>
    <xf numFmtId="0" fontId="1" fillId="0" borderId="0" xfId="1" applyFill="1" applyAlignment="1">
      <alignment horizontal="center" vertical="top"/>
    </xf>
    <xf numFmtId="0" fontId="13" fillId="0" borderId="0" xfId="0" applyFont="1" applyAlignment="1">
      <alignment vertical="top"/>
    </xf>
    <xf numFmtId="3" fontId="1" fillId="0" borderId="0" xfId="0" applyNumberFormat="1" applyFont="1" applyAlignment="1">
      <alignment vertical="top"/>
    </xf>
    <xf numFmtId="1" fontId="1" fillId="0" borderId="0" xfId="0" applyNumberFormat="1" applyFont="1" applyAlignment="1">
      <alignment horizontal="center" vertical="top"/>
    </xf>
    <xf numFmtId="2" fontId="1" fillId="0" borderId="0" xfId="0" applyNumberFormat="1" applyFont="1" applyAlignment="1">
      <alignment horizontal="right" vertical="top"/>
    </xf>
    <xf numFmtId="14" fontId="1" fillId="0" borderId="0" xfId="0" applyNumberFormat="1" applyFont="1" applyAlignment="1">
      <alignment horizontal="right" vertical="top"/>
    </xf>
    <xf numFmtId="0" fontId="0" fillId="0" borderId="0" xfId="0" applyFill="1" applyAlignment="1">
      <alignment vertical="top"/>
    </xf>
    <xf numFmtId="0" fontId="0" fillId="0" borderId="0" xfId="0" applyAlignment="1" applyProtection="1">
      <alignment vertical="top"/>
      <protection locked="0"/>
    </xf>
    <xf numFmtId="0" fontId="1" fillId="0" borderId="0" xfId="0" applyFont="1" applyAlignment="1" applyProtection="1">
      <alignment vertical="top"/>
      <protection locked="0"/>
    </xf>
    <xf numFmtId="0" fontId="13" fillId="0" borderId="0" xfId="0" applyFont="1" applyAlignment="1" applyProtection="1">
      <alignment vertical="top"/>
      <protection locked="0"/>
    </xf>
  </cellXfs>
  <cellStyles count="4">
    <cellStyle name="Millares 2" xfId="2"/>
    <cellStyle name="Normal" xfId="0" builtinId="0"/>
    <cellStyle name="Normal 2" xfId="1"/>
    <cellStyle name="Normal 3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1</xdr:col>
          <xdr:colOff>1685925</xdr:colOff>
          <xdr:row>9</xdr:row>
          <xdr:rowOff>104775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9525</xdr:rowOff>
        </xdr:from>
        <xdr:to>
          <xdr:col>1</xdr:col>
          <xdr:colOff>1714500</xdr:colOff>
          <xdr:row>9</xdr:row>
          <xdr:rowOff>123825</xdr:rowOff>
        </xdr:to>
        <xdr:sp macro="" textlink="">
          <xdr:nvSpPr>
            <xdr:cNvPr id="2049" name="Image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1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V585"/>
  <sheetViews>
    <sheetView tabSelected="1" topLeftCell="B1" zoomScaleNormal="100" workbookViewId="0">
      <pane ySplit="12" topLeftCell="A22" activePane="bottomLeft" state="frozen"/>
      <selection pane="bottomLeft" activeCell="B12" sqref="B12"/>
    </sheetView>
  </sheetViews>
  <sheetFormatPr baseColWidth="10" defaultColWidth="9.140625" defaultRowHeight="12.75" x14ac:dyDescent="0.2"/>
  <cols>
    <col min="1" max="1" width="4.5703125" customWidth="1"/>
    <col min="2" max="2" width="25.5703125" customWidth="1"/>
    <col min="3" max="3" width="42" bestFit="1" customWidth="1"/>
    <col min="4" max="4" width="10.28515625" bestFit="1" customWidth="1"/>
    <col min="5" max="5" width="10" style="4" customWidth="1"/>
    <col min="6" max="6" width="16.28515625" customWidth="1"/>
    <col min="7" max="7" width="17.28515625" customWidth="1"/>
    <col min="8" max="8" width="12.5703125" customWidth="1"/>
    <col min="9" max="9" width="21" customWidth="1"/>
    <col min="10" max="10" width="26.140625" bestFit="1" customWidth="1"/>
    <col min="11" max="11" width="39.140625" bestFit="1" customWidth="1"/>
    <col min="12" max="12" width="15.140625" style="4" bestFit="1" customWidth="1"/>
    <col min="13" max="13" width="37.28515625" bestFit="1" customWidth="1"/>
    <col min="15" max="15" width="13.85546875" customWidth="1"/>
    <col min="16" max="16" width="7.42578125" customWidth="1"/>
    <col min="17" max="17" width="14.85546875" customWidth="1"/>
    <col min="18" max="18" width="5.85546875" customWidth="1"/>
    <col min="19" max="19" width="21.28515625" bestFit="1" customWidth="1"/>
  </cols>
  <sheetData>
    <row r="1" spans="1:20" x14ac:dyDescent="0.2">
      <c r="D1" s="4"/>
      <c r="G1" s="4"/>
    </row>
    <row r="2" spans="1:20" ht="18" x14ac:dyDescent="0.2">
      <c r="D2" s="4"/>
      <c r="G2" s="4"/>
      <c r="L2" s="42" t="s">
        <v>598</v>
      </c>
      <c r="M2" s="43">
        <v>42308</v>
      </c>
    </row>
    <row r="3" spans="1:20" x14ac:dyDescent="0.2">
      <c r="D3" s="4"/>
      <c r="G3" s="4"/>
    </row>
    <row r="4" spans="1:20" x14ac:dyDescent="0.2">
      <c r="D4" s="4"/>
      <c r="G4" s="4"/>
    </row>
    <row r="5" spans="1:20" x14ac:dyDescent="0.2">
      <c r="D5" s="4"/>
      <c r="G5" s="4"/>
    </row>
    <row r="6" spans="1:20" ht="27" x14ac:dyDescent="0.2">
      <c r="C6" s="5" t="s">
        <v>599</v>
      </c>
      <c r="D6" s="5"/>
      <c r="E6" s="6"/>
      <c r="F6" s="5"/>
      <c r="G6" s="5"/>
      <c r="H6" s="5"/>
      <c r="I6" s="5"/>
      <c r="J6" s="5"/>
      <c r="K6" s="5"/>
      <c r="L6" s="6"/>
    </row>
    <row r="7" spans="1:20" x14ac:dyDescent="0.2">
      <c r="D7" s="4"/>
      <c r="G7" s="4"/>
    </row>
    <row r="8" spans="1:20" x14ac:dyDescent="0.2">
      <c r="D8" s="4"/>
      <c r="G8" s="4"/>
    </row>
    <row r="9" spans="1:20" x14ac:dyDescent="0.2">
      <c r="D9" s="4"/>
      <c r="G9" s="4"/>
    </row>
    <row r="10" spans="1:20" ht="15.75" x14ac:dyDescent="0.2">
      <c r="C10" s="7" t="s">
        <v>600</v>
      </c>
      <c r="D10" s="4"/>
      <c r="E10" s="8">
        <f>COUNT(B13:B566)</f>
        <v>554</v>
      </c>
      <c r="F10" s="7"/>
      <c r="G10" s="9" t="s">
        <v>601</v>
      </c>
      <c r="I10" s="8">
        <f>SUBTOTAL(2,B13:B566)</f>
        <v>554</v>
      </c>
    </row>
    <row r="11" spans="1:20" x14ac:dyDescent="0.2">
      <c r="D11" s="4"/>
      <c r="G11" s="4"/>
      <c r="T11" s="36"/>
    </row>
    <row r="12" spans="1:20" x14ac:dyDescent="0.2">
      <c r="B12" s="10" t="s">
        <v>602</v>
      </c>
      <c r="C12" s="11" t="s">
        <v>603</v>
      </c>
      <c r="D12" s="12" t="s">
        <v>604</v>
      </c>
      <c r="E12" s="12" t="s">
        <v>605</v>
      </c>
      <c r="F12" s="11" t="s">
        <v>596</v>
      </c>
      <c r="G12" s="12" t="s">
        <v>606</v>
      </c>
      <c r="H12" s="12" t="s">
        <v>607</v>
      </c>
      <c r="I12" s="12" t="s">
        <v>608</v>
      </c>
      <c r="J12" s="10" t="s">
        <v>609</v>
      </c>
      <c r="K12" s="37" t="s">
        <v>610</v>
      </c>
      <c r="L12" s="12" t="s">
        <v>611</v>
      </c>
      <c r="M12" s="12" t="s">
        <v>612</v>
      </c>
      <c r="O12" s="52"/>
      <c r="P12" s="52"/>
      <c r="Q12" s="52"/>
      <c r="R12" s="52"/>
      <c r="S12" s="52"/>
      <c r="T12" s="52"/>
    </row>
    <row r="13" spans="1:20" x14ac:dyDescent="0.2">
      <c r="A13" s="66"/>
      <c r="B13" s="53">
        <v>16069430</v>
      </c>
      <c r="C13" t="s">
        <v>657</v>
      </c>
      <c r="D13" t="s">
        <v>20</v>
      </c>
      <c r="E13" s="44">
        <v>32</v>
      </c>
      <c r="F13" s="51" t="s">
        <v>769</v>
      </c>
      <c r="G13" s="1">
        <v>18325</v>
      </c>
      <c r="H13" t="s">
        <v>1</v>
      </c>
      <c r="I13" t="s">
        <v>2</v>
      </c>
      <c r="J13" s="50" t="s">
        <v>649</v>
      </c>
      <c r="K13" t="s">
        <v>757</v>
      </c>
      <c r="L13" s="2">
        <v>41715</v>
      </c>
      <c r="M13" t="s">
        <v>758</v>
      </c>
    </row>
    <row r="14" spans="1:20" x14ac:dyDescent="0.2">
      <c r="A14" s="66"/>
      <c r="B14" s="53">
        <v>14132286</v>
      </c>
      <c r="C14" t="s">
        <v>378</v>
      </c>
      <c r="D14" t="s">
        <v>20</v>
      </c>
      <c r="E14" s="44">
        <v>37</v>
      </c>
      <c r="F14" s="51" t="s">
        <v>769</v>
      </c>
      <c r="G14" s="1">
        <v>21440</v>
      </c>
      <c r="H14" t="s">
        <v>1</v>
      </c>
      <c r="I14" t="s">
        <v>2</v>
      </c>
      <c r="J14" s="50" t="s">
        <v>649</v>
      </c>
      <c r="K14" s="36" t="s">
        <v>907</v>
      </c>
      <c r="L14" s="2">
        <v>40911</v>
      </c>
      <c r="M14" t="s">
        <v>379</v>
      </c>
    </row>
    <row r="15" spans="1:20" x14ac:dyDescent="0.2">
      <c r="A15" s="66"/>
      <c r="B15" s="53">
        <v>14579149</v>
      </c>
      <c r="C15" t="s">
        <v>408</v>
      </c>
      <c r="D15" t="s">
        <v>0</v>
      </c>
      <c r="E15" s="44">
        <v>37</v>
      </c>
      <c r="F15" s="51" t="s">
        <v>769</v>
      </c>
      <c r="G15" s="1">
        <v>21440</v>
      </c>
      <c r="H15" t="s">
        <v>1</v>
      </c>
      <c r="I15" t="s">
        <v>2</v>
      </c>
      <c r="J15" s="50" t="s">
        <v>649</v>
      </c>
      <c r="K15" s="36" t="s">
        <v>907</v>
      </c>
      <c r="L15" s="2">
        <v>40911</v>
      </c>
      <c r="M15" t="s">
        <v>409</v>
      </c>
    </row>
    <row r="16" spans="1:20" x14ac:dyDescent="0.2">
      <c r="A16" s="66"/>
      <c r="B16" s="53">
        <v>17973431</v>
      </c>
      <c r="C16" t="s">
        <v>802</v>
      </c>
      <c r="D16" t="s">
        <v>20</v>
      </c>
      <c r="E16" s="44">
        <v>28</v>
      </c>
      <c r="F16" s="51" t="s">
        <v>768</v>
      </c>
      <c r="G16" s="1">
        <v>22635</v>
      </c>
      <c r="H16" t="s">
        <v>1</v>
      </c>
      <c r="I16" t="s">
        <v>2</v>
      </c>
      <c r="J16" s="50" t="s">
        <v>649</v>
      </c>
      <c r="K16" s="36" t="s">
        <v>907</v>
      </c>
      <c r="L16" s="2">
        <v>42128</v>
      </c>
      <c r="M16" t="s">
        <v>540</v>
      </c>
    </row>
    <row r="17" spans="1:13" x14ac:dyDescent="0.2">
      <c r="A17" s="66"/>
      <c r="B17" s="53">
        <v>20325535</v>
      </c>
      <c r="C17" t="s">
        <v>898</v>
      </c>
      <c r="D17" t="s">
        <v>20</v>
      </c>
      <c r="E17" s="44">
        <v>24</v>
      </c>
      <c r="F17" s="51" t="s">
        <v>768</v>
      </c>
      <c r="G17" s="1">
        <v>20150</v>
      </c>
      <c r="H17" t="s">
        <v>1</v>
      </c>
      <c r="I17" t="s">
        <v>2</v>
      </c>
      <c r="J17" s="50" t="s">
        <v>649</v>
      </c>
      <c r="K17" s="36" t="s">
        <v>907</v>
      </c>
      <c r="L17" s="2">
        <v>42263</v>
      </c>
      <c r="M17" t="s">
        <v>409</v>
      </c>
    </row>
    <row r="18" spans="1:13" x14ac:dyDescent="0.2">
      <c r="A18" s="66"/>
      <c r="B18" s="53">
        <v>20764847</v>
      </c>
      <c r="C18" t="s">
        <v>910</v>
      </c>
      <c r="D18" t="s">
        <v>20</v>
      </c>
      <c r="E18" s="44">
        <v>25</v>
      </c>
      <c r="F18" s="51" t="s">
        <v>768</v>
      </c>
      <c r="G18" s="1">
        <v>16675</v>
      </c>
      <c r="H18" t="s">
        <v>1</v>
      </c>
      <c r="I18" t="s">
        <v>2</v>
      </c>
      <c r="J18" s="50" t="s">
        <v>649</v>
      </c>
      <c r="K18" s="36" t="s">
        <v>907</v>
      </c>
      <c r="L18" s="2">
        <v>42284</v>
      </c>
      <c r="M18" t="s">
        <v>379</v>
      </c>
    </row>
    <row r="19" spans="1:13" x14ac:dyDescent="0.2">
      <c r="A19" s="66"/>
      <c r="B19" s="53">
        <v>8290145</v>
      </c>
      <c r="C19" t="s">
        <v>138</v>
      </c>
      <c r="D19" t="s">
        <v>0</v>
      </c>
      <c r="E19" s="44">
        <v>41</v>
      </c>
      <c r="F19" s="51" t="s">
        <v>769</v>
      </c>
      <c r="G19" s="1">
        <v>25820</v>
      </c>
      <c r="H19" t="s">
        <v>1</v>
      </c>
      <c r="I19" t="s">
        <v>2</v>
      </c>
      <c r="J19" s="50" t="s">
        <v>649</v>
      </c>
      <c r="K19" s="36" t="s">
        <v>908</v>
      </c>
      <c r="L19" s="2">
        <v>37196</v>
      </c>
      <c r="M19" t="s">
        <v>139</v>
      </c>
    </row>
    <row r="20" spans="1:13" x14ac:dyDescent="0.2">
      <c r="A20" s="66"/>
      <c r="B20" s="53">
        <v>4902824</v>
      </c>
      <c r="C20" t="s">
        <v>40</v>
      </c>
      <c r="D20" t="s">
        <v>0</v>
      </c>
      <c r="E20" s="44">
        <v>59</v>
      </c>
      <c r="F20" s="51" t="s">
        <v>769</v>
      </c>
      <c r="G20" s="1">
        <v>9641</v>
      </c>
      <c r="H20" t="s">
        <v>4</v>
      </c>
      <c r="I20" t="s">
        <v>31</v>
      </c>
      <c r="J20" s="50" t="s">
        <v>649</v>
      </c>
      <c r="K20" s="36" t="s">
        <v>908</v>
      </c>
      <c r="L20" s="2">
        <v>38200</v>
      </c>
      <c r="M20" t="s">
        <v>41</v>
      </c>
    </row>
    <row r="21" spans="1:13" x14ac:dyDescent="0.2">
      <c r="A21" s="66"/>
      <c r="B21" s="53">
        <v>8245557</v>
      </c>
      <c r="C21" t="s">
        <v>109</v>
      </c>
      <c r="D21" t="s">
        <v>0</v>
      </c>
      <c r="E21" s="44">
        <v>50</v>
      </c>
      <c r="F21" s="51" t="s">
        <v>769</v>
      </c>
      <c r="G21" s="1">
        <v>9641</v>
      </c>
      <c r="H21" t="s">
        <v>4</v>
      </c>
      <c r="I21" t="s">
        <v>46</v>
      </c>
      <c r="J21" s="50" t="s">
        <v>649</v>
      </c>
      <c r="K21" s="36" t="s">
        <v>908</v>
      </c>
      <c r="L21" s="2">
        <v>38200</v>
      </c>
      <c r="M21" t="s">
        <v>41</v>
      </c>
    </row>
    <row r="22" spans="1:13" x14ac:dyDescent="0.2">
      <c r="A22" s="66"/>
      <c r="B22" s="53">
        <v>8309687</v>
      </c>
      <c r="C22" t="s">
        <v>143</v>
      </c>
      <c r="D22" t="s">
        <v>0</v>
      </c>
      <c r="E22" s="44">
        <v>53</v>
      </c>
      <c r="F22" s="51" t="s">
        <v>769</v>
      </c>
      <c r="G22" s="1">
        <v>9681</v>
      </c>
      <c r="H22" t="s">
        <v>4</v>
      </c>
      <c r="I22" t="s">
        <v>34</v>
      </c>
      <c r="J22" s="50" t="s">
        <v>649</v>
      </c>
      <c r="K22" s="36" t="s">
        <v>908</v>
      </c>
      <c r="L22" s="2">
        <v>38200</v>
      </c>
      <c r="M22" t="s">
        <v>41</v>
      </c>
    </row>
    <row r="23" spans="1:13" x14ac:dyDescent="0.2">
      <c r="A23" s="66"/>
      <c r="B23" s="53">
        <v>8327057</v>
      </c>
      <c r="C23" t="s">
        <v>147</v>
      </c>
      <c r="D23" t="s">
        <v>0</v>
      </c>
      <c r="E23" s="44">
        <v>50</v>
      </c>
      <c r="F23" s="51" t="s">
        <v>769</v>
      </c>
      <c r="G23" s="1">
        <v>9587</v>
      </c>
      <c r="H23" t="s">
        <v>4</v>
      </c>
      <c r="I23" t="s">
        <v>31</v>
      </c>
      <c r="J23" s="50" t="s">
        <v>649</v>
      </c>
      <c r="K23" s="36" t="s">
        <v>908</v>
      </c>
      <c r="L23" s="2">
        <v>38200</v>
      </c>
      <c r="M23" t="s">
        <v>41</v>
      </c>
    </row>
    <row r="24" spans="1:13" x14ac:dyDescent="0.2">
      <c r="A24" s="66"/>
      <c r="B24" s="53">
        <v>9815980</v>
      </c>
      <c r="C24" t="s">
        <v>186</v>
      </c>
      <c r="D24" t="s">
        <v>0</v>
      </c>
      <c r="E24" s="44">
        <v>44</v>
      </c>
      <c r="F24" s="51" t="s">
        <v>769</v>
      </c>
      <c r="G24" s="1">
        <v>9751</v>
      </c>
      <c r="H24" t="s">
        <v>4</v>
      </c>
      <c r="I24" t="s">
        <v>46</v>
      </c>
      <c r="J24" s="50" t="s">
        <v>649</v>
      </c>
      <c r="K24" s="36" t="s">
        <v>908</v>
      </c>
      <c r="L24" s="2">
        <v>38200</v>
      </c>
      <c r="M24" t="s">
        <v>41</v>
      </c>
    </row>
    <row r="25" spans="1:13" x14ac:dyDescent="0.2">
      <c r="A25" s="66"/>
      <c r="B25" s="53">
        <v>12630441</v>
      </c>
      <c r="C25" t="s">
        <v>303</v>
      </c>
      <c r="D25" t="s">
        <v>0</v>
      </c>
      <c r="E25" s="44">
        <v>40</v>
      </c>
      <c r="F25" s="51" t="s">
        <v>769</v>
      </c>
      <c r="G25" s="1">
        <v>9751</v>
      </c>
      <c r="H25" t="s">
        <v>4</v>
      </c>
      <c r="I25" t="s">
        <v>34</v>
      </c>
      <c r="J25" s="50" t="s">
        <v>649</v>
      </c>
      <c r="K25" s="36" t="s">
        <v>908</v>
      </c>
      <c r="L25" s="2">
        <v>38322</v>
      </c>
      <c r="M25" t="s">
        <v>41</v>
      </c>
    </row>
    <row r="26" spans="1:13" x14ac:dyDescent="0.2">
      <c r="A26" s="66"/>
      <c r="B26" s="53">
        <v>14010829</v>
      </c>
      <c r="C26" t="s">
        <v>371</v>
      </c>
      <c r="D26" t="s">
        <v>20</v>
      </c>
      <c r="E26" s="44">
        <v>38</v>
      </c>
      <c r="F26" s="51" t="s">
        <v>769</v>
      </c>
      <c r="G26" s="1">
        <v>9405</v>
      </c>
      <c r="H26" t="s">
        <v>4</v>
      </c>
      <c r="I26" t="s">
        <v>2</v>
      </c>
      <c r="J26" s="50" t="s">
        <v>649</v>
      </c>
      <c r="K26" s="36" t="s">
        <v>908</v>
      </c>
      <c r="L26" s="2">
        <v>38530</v>
      </c>
      <c r="M26" t="s">
        <v>372</v>
      </c>
    </row>
    <row r="27" spans="1:13" x14ac:dyDescent="0.2">
      <c r="A27" s="66"/>
      <c r="B27" s="53">
        <v>5914334</v>
      </c>
      <c r="C27" t="s">
        <v>61</v>
      </c>
      <c r="D27" t="s">
        <v>0</v>
      </c>
      <c r="E27" s="44">
        <v>50</v>
      </c>
      <c r="F27" s="51" t="s">
        <v>769</v>
      </c>
      <c r="G27" s="1">
        <v>9425</v>
      </c>
      <c r="H27" t="s">
        <v>4</v>
      </c>
      <c r="I27" t="s">
        <v>5</v>
      </c>
      <c r="J27" s="50" t="s">
        <v>649</v>
      </c>
      <c r="K27" s="36" t="s">
        <v>908</v>
      </c>
      <c r="L27" s="2">
        <v>40546</v>
      </c>
      <c r="M27" t="s">
        <v>41</v>
      </c>
    </row>
    <row r="28" spans="1:13" x14ac:dyDescent="0.2">
      <c r="A28" s="66"/>
      <c r="B28" s="53">
        <v>8597739</v>
      </c>
      <c r="C28" t="s">
        <v>166</v>
      </c>
      <c r="D28" t="s">
        <v>0</v>
      </c>
      <c r="E28" s="44">
        <v>49</v>
      </c>
      <c r="F28" s="51" t="s">
        <v>769</v>
      </c>
      <c r="G28" s="1">
        <v>9425</v>
      </c>
      <c r="H28" t="s">
        <v>4</v>
      </c>
      <c r="I28" t="s">
        <v>34</v>
      </c>
      <c r="J28" s="50" t="s">
        <v>649</v>
      </c>
      <c r="K28" s="36" t="s">
        <v>908</v>
      </c>
      <c r="L28" s="2">
        <v>40695</v>
      </c>
      <c r="M28" t="s">
        <v>41</v>
      </c>
    </row>
    <row r="29" spans="1:13" x14ac:dyDescent="0.2">
      <c r="A29" s="66"/>
      <c r="B29" s="53">
        <v>16725879</v>
      </c>
      <c r="C29" t="s">
        <v>495</v>
      </c>
      <c r="D29" t="s">
        <v>0</v>
      </c>
      <c r="E29" s="44">
        <v>32</v>
      </c>
      <c r="F29" s="51" t="s">
        <v>769</v>
      </c>
      <c r="G29" s="1">
        <v>8925</v>
      </c>
      <c r="H29" t="s">
        <v>4</v>
      </c>
      <c r="I29" t="s">
        <v>31</v>
      </c>
      <c r="J29" s="50" t="s">
        <v>649</v>
      </c>
      <c r="K29" s="36" t="s">
        <v>908</v>
      </c>
      <c r="L29" s="2">
        <v>41334</v>
      </c>
      <c r="M29" t="s">
        <v>41</v>
      </c>
    </row>
    <row r="30" spans="1:13" x14ac:dyDescent="0.2">
      <c r="A30" s="66"/>
      <c r="B30" s="53">
        <v>16723485</v>
      </c>
      <c r="C30" t="s">
        <v>494</v>
      </c>
      <c r="D30" t="s">
        <v>0</v>
      </c>
      <c r="E30" s="44">
        <v>30</v>
      </c>
      <c r="F30" s="51" t="s">
        <v>769</v>
      </c>
      <c r="G30" s="1">
        <v>8925</v>
      </c>
      <c r="H30" t="s">
        <v>4</v>
      </c>
      <c r="I30" t="s">
        <v>5</v>
      </c>
      <c r="J30" s="50" t="s">
        <v>649</v>
      </c>
      <c r="K30" s="36" t="s">
        <v>908</v>
      </c>
      <c r="L30" s="2">
        <v>41442</v>
      </c>
      <c r="M30" t="s">
        <v>41</v>
      </c>
    </row>
    <row r="31" spans="1:13" x14ac:dyDescent="0.2">
      <c r="A31" s="66"/>
      <c r="B31" s="53">
        <v>13168174</v>
      </c>
      <c r="C31" t="s">
        <v>730</v>
      </c>
      <c r="D31" t="s">
        <v>0</v>
      </c>
      <c r="E31" s="44">
        <v>44</v>
      </c>
      <c r="F31" s="51" t="s">
        <v>768</v>
      </c>
      <c r="G31" s="1">
        <v>8535</v>
      </c>
      <c r="H31" t="s">
        <v>4</v>
      </c>
      <c r="I31" t="s">
        <v>31</v>
      </c>
      <c r="J31" s="50" t="s">
        <v>649</v>
      </c>
      <c r="K31" s="36" t="s">
        <v>908</v>
      </c>
      <c r="L31" s="2">
        <v>42011</v>
      </c>
      <c r="M31" t="s">
        <v>41</v>
      </c>
    </row>
    <row r="32" spans="1:13" x14ac:dyDescent="0.2">
      <c r="A32" s="66"/>
      <c r="B32" s="53">
        <v>19457109</v>
      </c>
      <c r="C32" t="s">
        <v>731</v>
      </c>
      <c r="D32" t="s">
        <v>20</v>
      </c>
      <c r="E32" s="44">
        <v>25</v>
      </c>
      <c r="F32" s="51" t="s">
        <v>768</v>
      </c>
      <c r="G32" s="1">
        <v>8535</v>
      </c>
      <c r="H32" t="s">
        <v>4</v>
      </c>
      <c r="I32" t="s">
        <v>46</v>
      </c>
      <c r="J32" s="50" t="s">
        <v>649</v>
      </c>
      <c r="K32" s="36" t="s">
        <v>908</v>
      </c>
      <c r="L32" s="2">
        <v>42011</v>
      </c>
      <c r="M32" t="s">
        <v>41</v>
      </c>
    </row>
    <row r="33" spans="1:13" x14ac:dyDescent="0.2">
      <c r="A33" s="66"/>
      <c r="B33" s="53">
        <v>17537625</v>
      </c>
      <c r="C33" t="s">
        <v>751</v>
      </c>
      <c r="D33" t="s">
        <v>0</v>
      </c>
      <c r="E33" s="44">
        <v>30</v>
      </c>
      <c r="F33" s="51" t="s">
        <v>768</v>
      </c>
      <c r="G33" s="1">
        <v>8535</v>
      </c>
      <c r="H33" t="s">
        <v>4</v>
      </c>
      <c r="I33" t="s">
        <v>46</v>
      </c>
      <c r="J33" s="50" t="s">
        <v>649</v>
      </c>
      <c r="K33" s="36" t="s">
        <v>908</v>
      </c>
      <c r="L33" s="2">
        <v>42037</v>
      </c>
      <c r="M33" t="s">
        <v>41</v>
      </c>
    </row>
    <row r="34" spans="1:13" x14ac:dyDescent="0.2">
      <c r="A34" s="66"/>
      <c r="B34" s="53">
        <v>18515611</v>
      </c>
      <c r="C34" t="s">
        <v>752</v>
      </c>
      <c r="D34" t="s">
        <v>0</v>
      </c>
      <c r="E34" s="44">
        <v>31</v>
      </c>
      <c r="F34" s="51" t="s">
        <v>768</v>
      </c>
      <c r="G34" s="1">
        <v>8535</v>
      </c>
      <c r="H34" t="s">
        <v>4</v>
      </c>
      <c r="I34" t="s">
        <v>5</v>
      </c>
      <c r="J34" s="50" t="s">
        <v>649</v>
      </c>
      <c r="K34" s="36" t="s">
        <v>908</v>
      </c>
      <c r="L34" s="2">
        <v>42037</v>
      </c>
      <c r="M34" t="s">
        <v>41</v>
      </c>
    </row>
    <row r="35" spans="1:13" x14ac:dyDescent="0.2">
      <c r="A35" s="66"/>
      <c r="B35" s="53">
        <v>8280512</v>
      </c>
      <c r="C35" t="s">
        <v>753</v>
      </c>
      <c r="D35" t="s">
        <v>0</v>
      </c>
      <c r="E35" s="44">
        <v>45</v>
      </c>
      <c r="F35" s="51" t="s">
        <v>768</v>
      </c>
      <c r="G35" s="1">
        <v>8535</v>
      </c>
      <c r="H35" t="s">
        <v>4</v>
      </c>
      <c r="I35" t="s">
        <v>5</v>
      </c>
      <c r="J35" s="50" t="s">
        <v>649</v>
      </c>
      <c r="K35" s="36" t="s">
        <v>908</v>
      </c>
      <c r="L35" s="2">
        <v>42037</v>
      </c>
      <c r="M35" t="s">
        <v>41</v>
      </c>
    </row>
    <row r="36" spans="1:13" x14ac:dyDescent="0.2">
      <c r="A36" s="66"/>
      <c r="B36" s="53">
        <v>8283443</v>
      </c>
      <c r="C36" t="s">
        <v>754</v>
      </c>
      <c r="D36" t="s">
        <v>0</v>
      </c>
      <c r="E36" s="44">
        <v>41</v>
      </c>
      <c r="F36" s="51" t="s">
        <v>768</v>
      </c>
      <c r="G36" s="1">
        <v>8535</v>
      </c>
      <c r="H36" t="s">
        <v>4</v>
      </c>
      <c r="I36" t="s">
        <v>46</v>
      </c>
      <c r="J36" s="50" t="s">
        <v>649</v>
      </c>
      <c r="K36" s="36" t="s">
        <v>908</v>
      </c>
      <c r="L36" s="2">
        <v>42037</v>
      </c>
      <c r="M36" t="s">
        <v>41</v>
      </c>
    </row>
    <row r="37" spans="1:13" x14ac:dyDescent="0.2">
      <c r="A37" s="66"/>
      <c r="B37" s="53">
        <v>17537325</v>
      </c>
      <c r="C37" t="s">
        <v>527</v>
      </c>
      <c r="D37" t="s">
        <v>0</v>
      </c>
      <c r="E37" s="44">
        <v>30</v>
      </c>
      <c r="F37" s="51" t="s">
        <v>769</v>
      </c>
      <c r="G37" s="1">
        <v>28345</v>
      </c>
      <c r="H37" t="s">
        <v>1</v>
      </c>
      <c r="I37" t="s">
        <v>2</v>
      </c>
      <c r="J37" s="50" t="s">
        <v>906</v>
      </c>
      <c r="K37" t="s">
        <v>349</v>
      </c>
      <c r="L37" s="2">
        <v>40742</v>
      </c>
      <c r="M37" t="s">
        <v>759</v>
      </c>
    </row>
    <row r="38" spans="1:13" x14ac:dyDescent="0.2">
      <c r="A38" s="66"/>
      <c r="B38" s="53">
        <v>20683229</v>
      </c>
      <c r="C38" t="s">
        <v>659</v>
      </c>
      <c r="D38" t="s">
        <v>0</v>
      </c>
      <c r="E38" s="44">
        <v>24</v>
      </c>
      <c r="F38" s="51" t="s">
        <v>769</v>
      </c>
      <c r="G38" s="1">
        <v>21435</v>
      </c>
      <c r="H38" t="s">
        <v>1</v>
      </c>
      <c r="I38" t="s">
        <v>2</v>
      </c>
      <c r="J38" s="50" t="s">
        <v>906</v>
      </c>
      <c r="K38" t="s">
        <v>349</v>
      </c>
      <c r="L38" s="2">
        <v>41045</v>
      </c>
      <c r="M38" t="s">
        <v>528</v>
      </c>
    </row>
    <row r="39" spans="1:13" x14ac:dyDescent="0.2">
      <c r="A39" s="66"/>
      <c r="B39" s="53">
        <v>18127724</v>
      </c>
      <c r="C39" t="s">
        <v>546</v>
      </c>
      <c r="D39" t="s">
        <v>0</v>
      </c>
      <c r="E39" s="44">
        <v>28</v>
      </c>
      <c r="F39" s="51" t="s">
        <v>769</v>
      </c>
      <c r="G39" s="1">
        <v>17755</v>
      </c>
      <c r="H39" t="s">
        <v>1</v>
      </c>
      <c r="I39" t="s">
        <v>2</v>
      </c>
      <c r="J39" s="50" t="s">
        <v>906</v>
      </c>
      <c r="K39" t="s">
        <v>349</v>
      </c>
      <c r="L39" s="2">
        <v>41519</v>
      </c>
      <c r="M39" t="s">
        <v>528</v>
      </c>
    </row>
    <row r="40" spans="1:13" x14ac:dyDescent="0.2">
      <c r="A40" s="66"/>
      <c r="B40" s="53">
        <v>16340765</v>
      </c>
      <c r="C40" t="s">
        <v>660</v>
      </c>
      <c r="D40" t="s">
        <v>20</v>
      </c>
      <c r="E40" s="44">
        <v>30</v>
      </c>
      <c r="F40" s="51" t="s">
        <v>769</v>
      </c>
      <c r="G40" s="1">
        <v>23065</v>
      </c>
      <c r="H40" t="s">
        <v>1</v>
      </c>
      <c r="I40" t="s">
        <v>2</v>
      </c>
      <c r="J40" s="50" t="s">
        <v>906</v>
      </c>
      <c r="K40" t="s">
        <v>424</v>
      </c>
      <c r="L40" s="2">
        <v>41750</v>
      </c>
      <c r="M40" t="s">
        <v>425</v>
      </c>
    </row>
    <row r="41" spans="1:13" x14ac:dyDescent="0.2">
      <c r="A41" s="66"/>
      <c r="B41" s="53">
        <v>16062955</v>
      </c>
      <c r="C41" t="s">
        <v>721</v>
      </c>
      <c r="D41" t="s">
        <v>0</v>
      </c>
      <c r="E41" s="44">
        <v>32</v>
      </c>
      <c r="F41" s="51" t="s">
        <v>768</v>
      </c>
      <c r="G41" s="1">
        <v>20020</v>
      </c>
      <c r="H41" t="s">
        <v>1</v>
      </c>
      <c r="I41" t="s">
        <v>2</v>
      </c>
      <c r="J41" s="50" t="s">
        <v>906</v>
      </c>
      <c r="K41" t="s">
        <v>424</v>
      </c>
      <c r="L41" s="2">
        <v>41946</v>
      </c>
      <c r="M41" t="s">
        <v>425</v>
      </c>
    </row>
    <row r="42" spans="1:13" x14ac:dyDescent="0.2">
      <c r="A42" s="66"/>
      <c r="B42" s="53">
        <v>17869620</v>
      </c>
      <c r="C42" t="s">
        <v>536</v>
      </c>
      <c r="D42" t="s">
        <v>20</v>
      </c>
      <c r="E42" s="44">
        <v>29</v>
      </c>
      <c r="F42" s="51" t="s">
        <v>769</v>
      </c>
      <c r="G42" s="1">
        <v>19765</v>
      </c>
      <c r="H42" t="s">
        <v>1</v>
      </c>
      <c r="I42" t="s">
        <v>2</v>
      </c>
      <c r="J42" s="50" t="s">
        <v>906</v>
      </c>
      <c r="K42" t="s">
        <v>911</v>
      </c>
      <c r="L42" s="2">
        <v>41078</v>
      </c>
      <c r="M42" t="s">
        <v>537</v>
      </c>
    </row>
    <row r="43" spans="1:13" x14ac:dyDescent="0.2">
      <c r="A43" s="66"/>
      <c r="B43" s="53">
        <v>8347372</v>
      </c>
      <c r="C43" t="s">
        <v>155</v>
      </c>
      <c r="D43" t="s">
        <v>0</v>
      </c>
      <c r="E43" s="44">
        <v>46</v>
      </c>
      <c r="F43" s="51" t="s">
        <v>769</v>
      </c>
      <c r="G43" s="1">
        <v>31795</v>
      </c>
      <c r="H43" t="s">
        <v>1</v>
      </c>
      <c r="I43" t="s">
        <v>2</v>
      </c>
      <c r="J43" s="50" t="s">
        <v>650</v>
      </c>
      <c r="K43" t="s">
        <v>19</v>
      </c>
      <c r="L43" s="2">
        <v>40021</v>
      </c>
      <c r="M43" t="s">
        <v>156</v>
      </c>
    </row>
    <row r="44" spans="1:13" x14ac:dyDescent="0.2">
      <c r="A44" s="66"/>
      <c r="B44" s="53">
        <v>13690693</v>
      </c>
      <c r="C44" t="s">
        <v>348</v>
      </c>
      <c r="D44" t="s">
        <v>20</v>
      </c>
      <c r="E44" s="44">
        <v>37</v>
      </c>
      <c r="F44" s="51" t="s">
        <v>769</v>
      </c>
      <c r="G44" s="1">
        <v>31900</v>
      </c>
      <c r="H44" t="s">
        <v>1</v>
      </c>
      <c r="I44" t="s">
        <v>2</v>
      </c>
      <c r="J44" s="50" t="s">
        <v>650</v>
      </c>
      <c r="K44" t="s">
        <v>19</v>
      </c>
      <c r="L44" s="2">
        <v>40119</v>
      </c>
      <c r="M44" t="s">
        <v>156</v>
      </c>
    </row>
    <row r="45" spans="1:13" x14ac:dyDescent="0.2">
      <c r="A45" s="66"/>
      <c r="B45" s="53">
        <v>8496779</v>
      </c>
      <c r="C45" t="s">
        <v>158</v>
      </c>
      <c r="D45" t="s">
        <v>0</v>
      </c>
      <c r="E45" s="44">
        <v>49</v>
      </c>
      <c r="F45" s="51" t="s">
        <v>769</v>
      </c>
      <c r="G45" s="1">
        <v>32575</v>
      </c>
      <c r="H45" t="s">
        <v>1</v>
      </c>
      <c r="I45" t="s">
        <v>2</v>
      </c>
      <c r="J45" s="50" t="s">
        <v>221</v>
      </c>
      <c r="K45" t="s">
        <v>21</v>
      </c>
      <c r="L45" s="2">
        <v>38271</v>
      </c>
      <c r="M45" t="s">
        <v>159</v>
      </c>
    </row>
    <row r="46" spans="1:13" x14ac:dyDescent="0.2">
      <c r="A46" s="66"/>
      <c r="B46" s="53">
        <v>12562785</v>
      </c>
      <c r="C46" t="s">
        <v>293</v>
      </c>
      <c r="D46" t="s">
        <v>0</v>
      </c>
      <c r="E46" s="44">
        <v>41</v>
      </c>
      <c r="F46" s="51" t="s">
        <v>769</v>
      </c>
      <c r="G46" s="1">
        <v>22755</v>
      </c>
      <c r="H46" t="s">
        <v>1</v>
      </c>
      <c r="I46" t="s">
        <v>2</v>
      </c>
      <c r="J46" s="50" t="s">
        <v>221</v>
      </c>
      <c r="K46" t="s">
        <v>227</v>
      </c>
      <c r="L46" s="2">
        <v>39934</v>
      </c>
      <c r="M46" t="s">
        <v>294</v>
      </c>
    </row>
    <row r="47" spans="1:13" x14ac:dyDescent="0.2">
      <c r="A47" s="66"/>
      <c r="B47" s="53">
        <v>12201092</v>
      </c>
      <c r="C47" t="s">
        <v>263</v>
      </c>
      <c r="D47" t="s">
        <v>0</v>
      </c>
      <c r="E47" s="44">
        <v>41</v>
      </c>
      <c r="F47" s="51" t="s">
        <v>769</v>
      </c>
      <c r="G47" s="1">
        <v>23065</v>
      </c>
      <c r="H47" t="s">
        <v>1</v>
      </c>
      <c r="I47" t="s">
        <v>2</v>
      </c>
      <c r="J47" s="50" t="s">
        <v>221</v>
      </c>
      <c r="K47" t="s">
        <v>227</v>
      </c>
      <c r="L47" s="2">
        <v>40168</v>
      </c>
      <c r="M47" t="s">
        <v>264</v>
      </c>
    </row>
    <row r="48" spans="1:13" x14ac:dyDescent="0.2">
      <c r="A48" s="66"/>
      <c r="B48" s="53">
        <v>11417130</v>
      </c>
      <c r="C48" t="s">
        <v>226</v>
      </c>
      <c r="D48" t="s">
        <v>0</v>
      </c>
      <c r="E48" s="44">
        <v>42</v>
      </c>
      <c r="F48" s="51" t="s">
        <v>769</v>
      </c>
      <c r="G48" s="1">
        <v>33275</v>
      </c>
      <c r="H48" t="s">
        <v>1</v>
      </c>
      <c r="I48" t="s">
        <v>2</v>
      </c>
      <c r="J48" s="50" t="s">
        <v>221</v>
      </c>
      <c r="K48" t="s">
        <v>227</v>
      </c>
      <c r="L48" s="2">
        <v>41471</v>
      </c>
      <c r="M48" t="s">
        <v>228</v>
      </c>
    </row>
    <row r="49" spans="1:13" x14ac:dyDescent="0.2">
      <c r="A49" s="66"/>
      <c r="B49" s="53">
        <v>14803493</v>
      </c>
      <c r="C49" t="s">
        <v>422</v>
      </c>
      <c r="D49" t="s">
        <v>20</v>
      </c>
      <c r="E49" s="44">
        <v>35</v>
      </c>
      <c r="F49" s="51" t="s">
        <v>769</v>
      </c>
      <c r="G49" s="1">
        <v>26855</v>
      </c>
      <c r="H49" t="s">
        <v>1</v>
      </c>
      <c r="I49" t="s">
        <v>2</v>
      </c>
      <c r="J49" s="50" t="s">
        <v>221</v>
      </c>
      <c r="K49" t="s">
        <v>227</v>
      </c>
      <c r="L49" s="2">
        <v>41471</v>
      </c>
      <c r="M49" t="s">
        <v>423</v>
      </c>
    </row>
    <row r="50" spans="1:13" x14ac:dyDescent="0.2">
      <c r="A50" s="66"/>
      <c r="B50" s="53">
        <v>24900492</v>
      </c>
      <c r="C50" t="s">
        <v>593</v>
      </c>
      <c r="D50" t="s">
        <v>20</v>
      </c>
      <c r="E50" s="44">
        <v>23</v>
      </c>
      <c r="F50" s="51" t="s">
        <v>769</v>
      </c>
      <c r="G50" s="1">
        <v>20325</v>
      </c>
      <c r="H50" t="s">
        <v>1</v>
      </c>
      <c r="I50" t="s">
        <v>2</v>
      </c>
      <c r="J50" s="50" t="s">
        <v>221</v>
      </c>
      <c r="K50" t="s">
        <v>98</v>
      </c>
      <c r="L50" s="2">
        <v>40283</v>
      </c>
      <c r="M50" t="s">
        <v>458</v>
      </c>
    </row>
    <row r="51" spans="1:13" x14ac:dyDescent="0.2">
      <c r="A51" s="66"/>
      <c r="B51" s="53">
        <v>14101952</v>
      </c>
      <c r="C51" t="s">
        <v>376</v>
      </c>
      <c r="D51" t="s">
        <v>20</v>
      </c>
      <c r="E51" s="44">
        <v>37</v>
      </c>
      <c r="F51" s="51" t="s">
        <v>769</v>
      </c>
      <c r="G51" s="1">
        <v>26425</v>
      </c>
      <c r="H51" t="s">
        <v>1</v>
      </c>
      <c r="I51" t="s">
        <v>2</v>
      </c>
      <c r="J51" s="50" t="s">
        <v>221</v>
      </c>
      <c r="K51" t="s">
        <v>98</v>
      </c>
      <c r="L51" s="2">
        <v>40546</v>
      </c>
      <c r="M51" t="s">
        <v>377</v>
      </c>
    </row>
    <row r="52" spans="1:13" x14ac:dyDescent="0.2">
      <c r="A52" s="66"/>
      <c r="B52" s="53">
        <v>17237960</v>
      </c>
      <c r="C52" t="s">
        <v>514</v>
      </c>
      <c r="D52" t="s">
        <v>20</v>
      </c>
      <c r="E52" s="44">
        <v>30</v>
      </c>
      <c r="F52" s="51" t="s">
        <v>769</v>
      </c>
      <c r="G52" s="1">
        <v>23065</v>
      </c>
      <c r="H52" t="s">
        <v>1</v>
      </c>
      <c r="I52" t="s">
        <v>2</v>
      </c>
      <c r="J52" s="50" t="s">
        <v>221</v>
      </c>
      <c r="K52" t="s">
        <v>98</v>
      </c>
      <c r="L52" s="2">
        <v>40575</v>
      </c>
      <c r="M52" t="s">
        <v>377</v>
      </c>
    </row>
    <row r="53" spans="1:13" x14ac:dyDescent="0.2">
      <c r="A53" s="66"/>
      <c r="B53" s="53">
        <v>24392148</v>
      </c>
      <c r="C53" t="s">
        <v>592</v>
      </c>
      <c r="D53" t="s">
        <v>20</v>
      </c>
      <c r="E53" s="44">
        <v>24</v>
      </c>
      <c r="F53" s="51" t="s">
        <v>769</v>
      </c>
      <c r="G53" s="1">
        <v>20325</v>
      </c>
      <c r="H53" t="s">
        <v>1</v>
      </c>
      <c r="I53" t="s">
        <v>2</v>
      </c>
      <c r="J53" s="50" t="s">
        <v>221</v>
      </c>
      <c r="K53" t="s">
        <v>98</v>
      </c>
      <c r="L53" s="2">
        <v>40634</v>
      </c>
      <c r="M53" t="s">
        <v>458</v>
      </c>
    </row>
    <row r="54" spans="1:13" x14ac:dyDescent="0.2">
      <c r="A54" s="66"/>
      <c r="B54" s="53">
        <v>13690407</v>
      </c>
      <c r="C54" t="s">
        <v>345</v>
      </c>
      <c r="D54" t="s">
        <v>20</v>
      </c>
      <c r="E54" s="44">
        <v>38</v>
      </c>
      <c r="F54" s="51" t="s">
        <v>769</v>
      </c>
      <c r="G54" s="1">
        <v>33090</v>
      </c>
      <c r="H54" t="s">
        <v>1</v>
      </c>
      <c r="I54" t="s">
        <v>2</v>
      </c>
      <c r="J54" s="50" t="s">
        <v>221</v>
      </c>
      <c r="K54" t="s">
        <v>98</v>
      </c>
      <c r="L54" s="2">
        <v>40634</v>
      </c>
      <c r="M54" t="s">
        <v>346</v>
      </c>
    </row>
    <row r="55" spans="1:13" x14ac:dyDescent="0.2">
      <c r="A55" s="66"/>
      <c r="B55" s="53">
        <v>11909690</v>
      </c>
      <c r="C55" t="s">
        <v>255</v>
      </c>
      <c r="D55" t="s">
        <v>20</v>
      </c>
      <c r="E55" s="44">
        <v>41</v>
      </c>
      <c r="F55" s="51" t="s">
        <v>769</v>
      </c>
      <c r="G55" s="1">
        <v>19165</v>
      </c>
      <c r="H55" t="s">
        <v>1</v>
      </c>
      <c r="I55" t="s">
        <v>2</v>
      </c>
      <c r="J55" s="50" t="s">
        <v>221</v>
      </c>
      <c r="K55" t="s">
        <v>98</v>
      </c>
      <c r="L55" s="2">
        <v>41001</v>
      </c>
      <c r="M55" t="s">
        <v>256</v>
      </c>
    </row>
    <row r="56" spans="1:13" x14ac:dyDescent="0.2">
      <c r="A56" s="66"/>
      <c r="B56" s="53">
        <v>14212599</v>
      </c>
      <c r="C56" t="s">
        <v>382</v>
      </c>
      <c r="D56" t="s">
        <v>20</v>
      </c>
      <c r="E56" s="44">
        <v>40</v>
      </c>
      <c r="F56" s="51" t="s">
        <v>769</v>
      </c>
      <c r="G56" s="1">
        <v>17500</v>
      </c>
      <c r="H56" t="s">
        <v>1</v>
      </c>
      <c r="I56" t="s">
        <v>2</v>
      </c>
      <c r="J56" s="50" t="s">
        <v>221</v>
      </c>
      <c r="K56" t="s">
        <v>26</v>
      </c>
      <c r="L56" s="2">
        <v>40833</v>
      </c>
      <c r="M56" t="s">
        <v>383</v>
      </c>
    </row>
    <row r="57" spans="1:13" x14ac:dyDescent="0.2">
      <c r="A57" s="66"/>
      <c r="B57" s="53">
        <v>15470067</v>
      </c>
      <c r="C57" t="s">
        <v>694</v>
      </c>
      <c r="D57" t="s">
        <v>20</v>
      </c>
      <c r="E57" s="44">
        <v>33</v>
      </c>
      <c r="F57" s="51" t="s">
        <v>769</v>
      </c>
      <c r="G57" s="1">
        <v>23065</v>
      </c>
      <c r="H57" t="s">
        <v>1</v>
      </c>
      <c r="I57" t="s">
        <v>2</v>
      </c>
      <c r="J57" s="50" t="s">
        <v>221</v>
      </c>
      <c r="K57" t="s">
        <v>26</v>
      </c>
      <c r="L57" s="2">
        <v>41852</v>
      </c>
      <c r="M57" t="s">
        <v>292</v>
      </c>
    </row>
    <row r="58" spans="1:13" x14ac:dyDescent="0.2">
      <c r="A58" s="66"/>
      <c r="B58" s="53">
        <v>19841662</v>
      </c>
      <c r="C58" t="s">
        <v>750</v>
      </c>
      <c r="D58" t="s">
        <v>0</v>
      </c>
      <c r="E58" s="44">
        <v>26</v>
      </c>
      <c r="F58" s="51" t="s">
        <v>768</v>
      </c>
      <c r="G58" s="1">
        <v>20800</v>
      </c>
      <c r="H58" t="s">
        <v>1</v>
      </c>
      <c r="I58" t="s">
        <v>2</v>
      </c>
      <c r="J58" s="50" t="s">
        <v>221</v>
      </c>
      <c r="K58" t="s">
        <v>26</v>
      </c>
      <c r="L58" s="2">
        <v>42053</v>
      </c>
      <c r="M58" t="s">
        <v>292</v>
      </c>
    </row>
    <row r="59" spans="1:13" x14ac:dyDescent="0.2">
      <c r="A59" s="66"/>
      <c r="B59" s="53">
        <v>15740867</v>
      </c>
      <c r="C59" t="s">
        <v>772</v>
      </c>
      <c r="D59" t="s">
        <v>0</v>
      </c>
      <c r="E59" s="44">
        <v>35</v>
      </c>
      <c r="F59" s="51" t="s">
        <v>768</v>
      </c>
      <c r="G59" s="1">
        <v>20025</v>
      </c>
      <c r="H59" t="s">
        <v>1</v>
      </c>
      <c r="I59" t="s">
        <v>2</v>
      </c>
      <c r="J59" s="50" t="s">
        <v>221</v>
      </c>
      <c r="K59" t="s">
        <v>26</v>
      </c>
      <c r="L59" s="2">
        <v>42110</v>
      </c>
      <c r="M59" t="s">
        <v>292</v>
      </c>
    </row>
    <row r="60" spans="1:13" x14ac:dyDescent="0.2">
      <c r="A60" s="66"/>
      <c r="B60" s="53">
        <v>13710423</v>
      </c>
      <c r="C60" t="s">
        <v>351</v>
      </c>
      <c r="D60" t="s">
        <v>0</v>
      </c>
      <c r="E60" s="44">
        <v>38</v>
      </c>
      <c r="F60" s="51" t="s">
        <v>769</v>
      </c>
      <c r="G60" s="1">
        <v>22175</v>
      </c>
      <c r="H60" t="s">
        <v>1</v>
      </c>
      <c r="I60" t="s">
        <v>2</v>
      </c>
      <c r="J60" s="50" t="s">
        <v>221</v>
      </c>
      <c r="K60" t="s">
        <v>238</v>
      </c>
      <c r="L60" s="2">
        <v>37228</v>
      </c>
      <c r="M60" t="s">
        <v>352</v>
      </c>
    </row>
    <row r="61" spans="1:13" x14ac:dyDescent="0.2">
      <c r="A61" s="66"/>
      <c r="B61" s="53">
        <v>17370235</v>
      </c>
      <c r="C61" t="s">
        <v>517</v>
      </c>
      <c r="D61" t="s">
        <v>20</v>
      </c>
      <c r="E61" s="44">
        <v>29</v>
      </c>
      <c r="F61" s="51" t="s">
        <v>769</v>
      </c>
      <c r="G61" s="1">
        <v>21125</v>
      </c>
      <c r="H61" t="s">
        <v>1</v>
      </c>
      <c r="I61" t="s">
        <v>2</v>
      </c>
      <c r="J61" s="50" t="s">
        <v>221</v>
      </c>
      <c r="K61" t="s">
        <v>238</v>
      </c>
      <c r="L61" s="2">
        <v>40637</v>
      </c>
      <c r="M61" t="s">
        <v>518</v>
      </c>
    </row>
    <row r="62" spans="1:13" x14ac:dyDescent="0.2">
      <c r="A62" s="66"/>
      <c r="B62" s="53">
        <v>16182178</v>
      </c>
      <c r="C62" t="s">
        <v>820</v>
      </c>
      <c r="D62" t="s">
        <v>0</v>
      </c>
      <c r="E62" s="44">
        <v>31</v>
      </c>
      <c r="F62" s="51" t="s">
        <v>768</v>
      </c>
      <c r="G62" s="1">
        <v>17500</v>
      </c>
      <c r="H62" t="s">
        <v>1</v>
      </c>
      <c r="I62" t="s">
        <v>2</v>
      </c>
      <c r="J62" s="50" t="s">
        <v>221</v>
      </c>
      <c r="K62" t="s">
        <v>238</v>
      </c>
      <c r="L62" s="2">
        <v>42170</v>
      </c>
      <c r="M62" t="s">
        <v>352</v>
      </c>
    </row>
    <row r="63" spans="1:13" x14ac:dyDescent="0.2">
      <c r="A63" s="66"/>
      <c r="B63" s="53">
        <v>8294487</v>
      </c>
      <c r="C63" t="s">
        <v>732</v>
      </c>
      <c r="D63" t="s">
        <v>20</v>
      </c>
      <c r="E63" s="44">
        <v>39</v>
      </c>
      <c r="F63" s="51" t="s">
        <v>769</v>
      </c>
      <c r="G63" s="1">
        <v>18955</v>
      </c>
      <c r="H63" t="s">
        <v>1</v>
      </c>
      <c r="I63" t="s">
        <v>2</v>
      </c>
      <c r="J63" s="50" t="s">
        <v>76</v>
      </c>
      <c r="K63" t="s">
        <v>219</v>
      </c>
      <c r="L63" s="2">
        <v>42011</v>
      </c>
      <c r="M63" t="s">
        <v>483</v>
      </c>
    </row>
    <row r="64" spans="1:13" x14ac:dyDescent="0.2">
      <c r="A64" s="66"/>
      <c r="B64" s="53">
        <v>14484205</v>
      </c>
      <c r="C64" t="s">
        <v>403</v>
      </c>
      <c r="D64" t="s">
        <v>20</v>
      </c>
      <c r="E64" s="44">
        <v>37</v>
      </c>
      <c r="F64" s="51" t="s">
        <v>769</v>
      </c>
      <c r="G64" s="1">
        <v>39605</v>
      </c>
      <c r="H64" t="s">
        <v>1</v>
      </c>
      <c r="I64" t="s">
        <v>2</v>
      </c>
      <c r="J64" s="50" t="s">
        <v>76</v>
      </c>
      <c r="K64" t="s">
        <v>9</v>
      </c>
      <c r="L64" s="2">
        <v>39252</v>
      </c>
      <c r="M64" t="s">
        <v>404</v>
      </c>
    </row>
    <row r="65" spans="1:13" x14ac:dyDescent="0.2">
      <c r="A65" s="66"/>
      <c r="B65" s="53">
        <v>16480811</v>
      </c>
      <c r="C65" t="s">
        <v>482</v>
      </c>
      <c r="D65" t="s">
        <v>20</v>
      </c>
      <c r="E65" s="44">
        <v>32</v>
      </c>
      <c r="F65" s="51" t="s">
        <v>769</v>
      </c>
      <c r="G65" s="1">
        <v>22950</v>
      </c>
      <c r="H65" t="s">
        <v>1</v>
      </c>
      <c r="I65" t="s">
        <v>2</v>
      </c>
      <c r="J65" s="50" t="s">
        <v>76</v>
      </c>
      <c r="K65" t="s">
        <v>419</v>
      </c>
      <c r="L65" s="2">
        <v>38439</v>
      </c>
      <c r="M65" t="s">
        <v>93</v>
      </c>
    </row>
    <row r="66" spans="1:13" x14ac:dyDescent="0.2">
      <c r="A66" s="66"/>
      <c r="B66" s="53">
        <v>17237308</v>
      </c>
      <c r="C66" t="s">
        <v>512</v>
      </c>
      <c r="D66" t="s">
        <v>20</v>
      </c>
      <c r="E66" s="44">
        <v>31</v>
      </c>
      <c r="F66" s="51" t="s">
        <v>769</v>
      </c>
      <c r="G66" s="1">
        <v>30180</v>
      </c>
      <c r="H66" t="s">
        <v>1</v>
      </c>
      <c r="I66" t="s">
        <v>2</v>
      </c>
      <c r="J66" s="50" t="s">
        <v>76</v>
      </c>
      <c r="K66" t="s">
        <v>419</v>
      </c>
      <c r="L66" s="2">
        <v>40833</v>
      </c>
      <c r="M66" t="s">
        <v>513</v>
      </c>
    </row>
    <row r="67" spans="1:13" x14ac:dyDescent="0.2">
      <c r="A67" s="66"/>
      <c r="B67" s="53">
        <v>17222903</v>
      </c>
      <c r="C67" t="s">
        <v>510</v>
      </c>
      <c r="D67" t="s">
        <v>20</v>
      </c>
      <c r="E67" s="44">
        <v>30</v>
      </c>
      <c r="F67" s="51" t="s">
        <v>769</v>
      </c>
      <c r="G67" s="1">
        <v>23055</v>
      </c>
      <c r="H67" t="s">
        <v>1</v>
      </c>
      <c r="I67" t="s">
        <v>2</v>
      </c>
      <c r="J67" s="50" t="s">
        <v>76</v>
      </c>
      <c r="K67" t="s">
        <v>419</v>
      </c>
      <c r="L67" s="2">
        <v>40940</v>
      </c>
      <c r="M67" t="s">
        <v>93</v>
      </c>
    </row>
    <row r="68" spans="1:13" x14ac:dyDescent="0.2">
      <c r="A68" s="66"/>
      <c r="B68" s="53">
        <v>20103807</v>
      </c>
      <c r="C68" t="s">
        <v>821</v>
      </c>
      <c r="D68" t="s">
        <v>20</v>
      </c>
      <c r="E68" s="44">
        <v>23</v>
      </c>
      <c r="F68" s="51" t="s">
        <v>768</v>
      </c>
      <c r="G68" s="1">
        <v>20325</v>
      </c>
      <c r="H68" t="s">
        <v>1</v>
      </c>
      <c r="I68" t="s">
        <v>2</v>
      </c>
      <c r="J68" s="50" t="s">
        <v>76</v>
      </c>
      <c r="K68" t="s">
        <v>419</v>
      </c>
      <c r="L68" s="2">
        <v>42170</v>
      </c>
      <c r="M68" t="s">
        <v>93</v>
      </c>
    </row>
    <row r="69" spans="1:13" x14ac:dyDescent="0.2">
      <c r="A69" s="66"/>
      <c r="B69" s="53">
        <v>14503278</v>
      </c>
      <c r="C69" t="s">
        <v>405</v>
      </c>
      <c r="D69" t="s">
        <v>0</v>
      </c>
      <c r="E69" s="44">
        <v>35</v>
      </c>
      <c r="F69" s="51" t="s">
        <v>769</v>
      </c>
      <c r="G69" s="1">
        <v>31795</v>
      </c>
      <c r="H69" t="s">
        <v>1</v>
      </c>
      <c r="I69" t="s">
        <v>2</v>
      </c>
      <c r="J69" s="50" t="s">
        <v>76</v>
      </c>
      <c r="K69" t="s">
        <v>406</v>
      </c>
      <c r="L69" s="2">
        <v>38184</v>
      </c>
      <c r="M69" t="s">
        <v>407</v>
      </c>
    </row>
    <row r="70" spans="1:13" x14ac:dyDescent="0.2">
      <c r="A70" s="66"/>
      <c r="B70" s="53">
        <v>17486663</v>
      </c>
      <c r="C70" t="s">
        <v>523</v>
      </c>
      <c r="D70" t="s">
        <v>0</v>
      </c>
      <c r="E70" s="44">
        <v>30</v>
      </c>
      <c r="F70" s="51" t="s">
        <v>769</v>
      </c>
      <c r="G70" s="1">
        <v>22570</v>
      </c>
      <c r="H70" t="s">
        <v>1</v>
      </c>
      <c r="I70" t="s">
        <v>2</v>
      </c>
      <c r="J70" s="50" t="s">
        <v>76</v>
      </c>
      <c r="K70" t="s">
        <v>406</v>
      </c>
      <c r="L70" s="2">
        <v>40742</v>
      </c>
      <c r="M70" t="s">
        <v>524</v>
      </c>
    </row>
    <row r="71" spans="1:13" x14ac:dyDescent="0.2">
      <c r="A71" s="66"/>
      <c r="B71" s="53">
        <v>17410980</v>
      </c>
      <c r="C71" t="s">
        <v>521</v>
      </c>
      <c r="D71" t="s">
        <v>0</v>
      </c>
      <c r="E71" s="44">
        <v>28</v>
      </c>
      <c r="F71" s="51" t="s">
        <v>769</v>
      </c>
      <c r="G71" s="1">
        <v>23985</v>
      </c>
      <c r="H71" t="s">
        <v>1</v>
      </c>
      <c r="I71" t="s">
        <v>2</v>
      </c>
      <c r="J71" s="50" t="s">
        <v>76</v>
      </c>
      <c r="K71" t="s">
        <v>323</v>
      </c>
      <c r="L71" s="2">
        <v>39037</v>
      </c>
      <c r="M71" t="s">
        <v>522</v>
      </c>
    </row>
    <row r="72" spans="1:13" x14ac:dyDescent="0.2">
      <c r="A72" s="66"/>
      <c r="B72" s="53">
        <v>13163249</v>
      </c>
      <c r="C72" t="s">
        <v>322</v>
      </c>
      <c r="D72" t="s">
        <v>20</v>
      </c>
      <c r="E72" s="44">
        <v>39</v>
      </c>
      <c r="F72" s="51" t="s">
        <v>769</v>
      </c>
      <c r="G72" s="1">
        <v>34005</v>
      </c>
      <c r="H72" t="s">
        <v>1</v>
      </c>
      <c r="I72" t="s">
        <v>2</v>
      </c>
      <c r="J72" s="50" t="s">
        <v>76</v>
      </c>
      <c r="K72" t="s">
        <v>323</v>
      </c>
      <c r="L72" s="2">
        <v>39476</v>
      </c>
      <c r="M72" t="s">
        <v>324</v>
      </c>
    </row>
    <row r="73" spans="1:13" x14ac:dyDescent="0.2">
      <c r="A73" s="66"/>
      <c r="B73" s="53">
        <v>19674277</v>
      </c>
      <c r="C73" t="s">
        <v>580</v>
      </c>
      <c r="D73" t="s">
        <v>20</v>
      </c>
      <c r="E73" s="44">
        <v>24</v>
      </c>
      <c r="F73" s="51" t="s">
        <v>769</v>
      </c>
      <c r="G73" s="1">
        <v>20325</v>
      </c>
      <c r="H73" t="s">
        <v>1</v>
      </c>
      <c r="I73" t="s">
        <v>2</v>
      </c>
      <c r="J73" s="50" t="s">
        <v>76</v>
      </c>
      <c r="K73" t="s">
        <v>323</v>
      </c>
      <c r="L73" s="2">
        <v>40634</v>
      </c>
      <c r="M73" t="s">
        <v>522</v>
      </c>
    </row>
    <row r="74" spans="1:13" x14ac:dyDescent="0.2">
      <c r="A74" s="66"/>
      <c r="B74" s="53">
        <v>19457018</v>
      </c>
      <c r="C74" t="s">
        <v>574</v>
      </c>
      <c r="D74" t="s">
        <v>20</v>
      </c>
      <c r="E74" s="44">
        <v>26</v>
      </c>
      <c r="F74" s="51" t="s">
        <v>769</v>
      </c>
      <c r="G74" s="1">
        <v>19810</v>
      </c>
      <c r="H74" t="s">
        <v>1</v>
      </c>
      <c r="I74" t="s">
        <v>2</v>
      </c>
      <c r="J74" s="50" t="s">
        <v>76</v>
      </c>
      <c r="K74" t="s">
        <v>323</v>
      </c>
      <c r="L74" s="2">
        <v>40634</v>
      </c>
      <c r="M74" t="s">
        <v>522</v>
      </c>
    </row>
    <row r="75" spans="1:13" x14ac:dyDescent="0.2">
      <c r="A75" s="66"/>
      <c r="B75" s="53">
        <v>17902469</v>
      </c>
      <c r="C75" t="s">
        <v>695</v>
      </c>
      <c r="D75" t="s">
        <v>0</v>
      </c>
      <c r="E75" s="44">
        <v>28</v>
      </c>
      <c r="F75" s="51" t="s">
        <v>769</v>
      </c>
      <c r="G75" s="1">
        <v>20805</v>
      </c>
      <c r="H75" t="s">
        <v>1</v>
      </c>
      <c r="I75" t="s">
        <v>2</v>
      </c>
      <c r="J75" s="50" t="s">
        <v>76</v>
      </c>
      <c r="K75" t="s">
        <v>323</v>
      </c>
      <c r="L75" s="2">
        <v>41852</v>
      </c>
      <c r="M75" t="s">
        <v>522</v>
      </c>
    </row>
    <row r="76" spans="1:13" x14ac:dyDescent="0.2">
      <c r="A76" s="66"/>
      <c r="B76" s="53">
        <v>20765178</v>
      </c>
      <c r="C76" t="s">
        <v>822</v>
      </c>
      <c r="D76" t="s">
        <v>0</v>
      </c>
      <c r="E76" s="44">
        <v>22</v>
      </c>
      <c r="F76" s="51" t="s">
        <v>768</v>
      </c>
      <c r="G76" s="1">
        <v>19500</v>
      </c>
      <c r="H76" t="s">
        <v>1</v>
      </c>
      <c r="I76" t="s">
        <v>2</v>
      </c>
      <c r="J76" s="50" t="s">
        <v>76</v>
      </c>
      <c r="K76" t="s">
        <v>323</v>
      </c>
      <c r="L76" s="2">
        <v>42170</v>
      </c>
      <c r="M76" t="s">
        <v>522</v>
      </c>
    </row>
    <row r="77" spans="1:13" x14ac:dyDescent="0.2">
      <c r="A77" s="66"/>
      <c r="B77" s="53">
        <v>13743808</v>
      </c>
      <c r="C77" t="s">
        <v>356</v>
      </c>
      <c r="D77" t="s">
        <v>0</v>
      </c>
      <c r="E77" s="44">
        <v>36</v>
      </c>
      <c r="F77" s="51" t="s">
        <v>769</v>
      </c>
      <c r="G77" s="1">
        <v>32995</v>
      </c>
      <c r="H77" t="s">
        <v>1</v>
      </c>
      <c r="I77" t="s">
        <v>2</v>
      </c>
      <c r="J77" s="50" t="s">
        <v>76</v>
      </c>
      <c r="K77" t="s">
        <v>438</v>
      </c>
      <c r="L77" s="2">
        <v>39723</v>
      </c>
      <c r="M77" t="s">
        <v>720</v>
      </c>
    </row>
    <row r="78" spans="1:13" x14ac:dyDescent="0.2">
      <c r="A78" s="66"/>
      <c r="B78" s="53">
        <v>20358020</v>
      </c>
      <c r="C78" t="s">
        <v>583</v>
      </c>
      <c r="D78" t="s">
        <v>20</v>
      </c>
      <c r="E78" s="44">
        <v>24</v>
      </c>
      <c r="F78" s="51" t="s">
        <v>769</v>
      </c>
      <c r="G78" s="1">
        <v>21125</v>
      </c>
      <c r="H78" t="s">
        <v>1</v>
      </c>
      <c r="I78" t="s">
        <v>2</v>
      </c>
      <c r="J78" s="50" t="s">
        <v>76</v>
      </c>
      <c r="K78" t="s">
        <v>438</v>
      </c>
      <c r="L78" s="2">
        <v>40504</v>
      </c>
      <c r="M78" t="s">
        <v>532</v>
      </c>
    </row>
    <row r="79" spans="1:13" x14ac:dyDescent="0.2">
      <c r="A79" s="66"/>
      <c r="B79" s="53">
        <v>17729798</v>
      </c>
      <c r="C79" t="s">
        <v>531</v>
      </c>
      <c r="D79" t="s">
        <v>20</v>
      </c>
      <c r="E79" s="44">
        <v>30</v>
      </c>
      <c r="F79" s="51" t="s">
        <v>769</v>
      </c>
      <c r="G79" s="1">
        <v>23890</v>
      </c>
      <c r="H79" t="s">
        <v>1</v>
      </c>
      <c r="I79" t="s">
        <v>2</v>
      </c>
      <c r="J79" s="50" t="s">
        <v>76</v>
      </c>
      <c r="K79" t="s">
        <v>438</v>
      </c>
      <c r="L79" s="2">
        <v>41015</v>
      </c>
      <c r="M79" t="s">
        <v>532</v>
      </c>
    </row>
    <row r="80" spans="1:13" x14ac:dyDescent="0.2">
      <c r="A80" s="66"/>
      <c r="B80" s="53">
        <v>12796625</v>
      </c>
      <c r="C80" t="s">
        <v>311</v>
      </c>
      <c r="D80" t="s">
        <v>20</v>
      </c>
      <c r="E80" s="44">
        <v>39</v>
      </c>
      <c r="F80" s="51" t="s">
        <v>769</v>
      </c>
      <c r="G80" s="1">
        <v>31705</v>
      </c>
      <c r="H80" t="s">
        <v>1</v>
      </c>
      <c r="I80" t="s">
        <v>2</v>
      </c>
      <c r="J80" s="50" t="s">
        <v>76</v>
      </c>
      <c r="K80" t="s">
        <v>312</v>
      </c>
      <c r="L80" s="2">
        <v>38362</v>
      </c>
      <c r="M80" t="s">
        <v>313</v>
      </c>
    </row>
    <row r="81" spans="1:13" x14ac:dyDescent="0.2">
      <c r="A81" s="66"/>
      <c r="B81" s="53">
        <v>16718287</v>
      </c>
      <c r="C81" t="s">
        <v>492</v>
      </c>
      <c r="D81" t="s">
        <v>20</v>
      </c>
      <c r="E81" s="44">
        <v>31</v>
      </c>
      <c r="F81" s="51" t="s">
        <v>769</v>
      </c>
      <c r="G81" s="1">
        <v>23205</v>
      </c>
      <c r="H81" t="s">
        <v>1</v>
      </c>
      <c r="I81" t="s">
        <v>2</v>
      </c>
      <c r="J81" s="50" t="s">
        <v>76</v>
      </c>
      <c r="K81" t="s">
        <v>312</v>
      </c>
      <c r="L81" s="2">
        <v>40742</v>
      </c>
      <c r="M81" t="s">
        <v>493</v>
      </c>
    </row>
    <row r="82" spans="1:13" x14ac:dyDescent="0.2">
      <c r="A82" s="66"/>
      <c r="B82" s="53">
        <v>19169721</v>
      </c>
      <c r="C82" t="s">
        <v>788</v>
      </c>
      <c r="D82" t="s">
        <v>0</v>
      </c>
      <c r="E82" s="44">
        <v>26</v>
      </c>
      <c r="F82" s="51" t="s">
        <v>768</v>
      </c>
      <c r="G82" s="1">
        <v>22000</v>
      </c>
      <c r="H82" t="s">
        <v>1</v>
      </c>
      <c r="I82" t="s">
        <v>2</v>
      </c>
      <c r="J82" s="50" t="s">
        <v>76</v>
      </c>
      <c r="K82" t="s">
        <v>312</v>
      </c>
      <c r="L82" s="2">
        <v>42142</v>
      </c>
      <c r="M82" t="s">
        <v>493</v>
      </c>
    </row>
    <row r="83" spans="1:13" x14ac:dyDescent="0.2">
      <c r="A83" s="66"/>
      <c r="B83" s="53">
        <v>7063973</v>
      </c>
      <c r="C83" t="s">
        <v>81</v>
      </c>
      <c r="D83" t="s">
        <v>20</v>
      </c>
      <c r="E83" s="44">
        <v>53</v>
      </c>
      <c r="F83" s="51" t="s">
        <v>769</v>
      </c>
      <c r="G83" s="1">
        <v>22545</v>
      </c>
      <c r="H83" t="s">
        <v>1</v>
      </c>
      <c r="I83" t="s">
        <v>2</v>
      </c>
      <c r="J83" s="50" t="s">
        <v>76</v>
      </c>
      <c r="K83" t="s">
        <v>82</v>
      </c>
      <c r="L83" s="2">
        <v>39027</v>
      </c>
      <c r="M83" t="s">
        <v>83</v>
      </c>
    </row>
    <row r="84" spans="1:13" x14ac:dyDescent="0.2">
      <c r="A84" s="66"/>
      <c r="B84" s="53">
        <v>16067089</v>
      </c>
      <c r="C84" t="s">
        <v>464</v>
      </c>
      <c r="D84" t="s">
        <v>0</v>
      </c>
      <c r="E84" s="44">
        <v>32</v>
      </c>
      <c r="F84" s="51" t="s">
        <v>769</v>
      </c>
      <c r="G84" s="1">
        <v>21730</v>
      </c>
      <c r="H84" t="s">
        <v>1</v>
      </c>
      <c r="I84" t="s">
        <v>2</v>
      </c>
      <c r="J84" s="50" t="s">
        <v>76</v>
      </c>
      <c r="K84" t="s">
        <v>82</v>
      </c>
      <c r="L84" s="2">
        <v>40848</v>
      </c>
      <c r="M84" t="s">
        <v>83</v>
      </c>
    </row>
    <row r="85" spans="1:13" x14ac:dyDescent="0.2">
      <c r="A85" s="66"/>
      <c r="B85" s="53">
        <v>12093543</v>
      </c>
      <c r="C85" t="s">
        <v>261</v>
      </c>
      <c r="D85" t="s">
        <v>0</v>
      </c>
      <c r="E85" s="44">
        <v>40</v>
      </c>
      <c r="F85" s="51" t="s">
        <v>769</v>
      </c>
      <c r="G85" s="1">
        <v>52495</v>
      </c>
      <c r="H85" t="s">
        <v>1</v>
      </c>
      <c r="I85" t="s">
        <v>2</v>
      </c>
      <c r="J85" s="50" t="s">
        <v>813</v>
      </c>
      <c r="K85" t="s">
        <v>789</v>
      </c>
      <c r="L85" s="2">
        <v>36465</v>
      </c>
      <c r="M85" t="s">
        <v>790</v>
      </c>
    </row>
    <row r="86" spans="1:13" x14ac:dyDescent="0.2">
      <c r="A86" s="66"/>
      <c r="B86" s="53">
        <v>17418854</v>
      </c>
      <c r="C86" t="s">
        <v>698</v>
      </c>
      <c r="D86" t="s">
        <v>0</v>
      </c>
      <c r="E86" s="44">
        <v>29</v>
      </c>
      <c r="F86" s="51" t="s">
        <v>769</v>
      </c>
      <c r="G86" s="1">
        <v>21450</v>
      </c>
      <c r="H86" t="s">
        <v>1</v>
      </c>
      <c r="I86" t="s">
        <v>2</v>
      </c>
      <c r="J86" s="50" t="s">
        <v>813</v>
      </c>
      <c r="K86" t="s">
        <v>789</v>
      </c>
      <c r="L86" s="2">
        <v>41869</v>
      </c>
      <c r="M86" t="s">
        <v>892</v>
      </c>
    </row>
    <row r="87" spans="1:13" x14ac:dyDescent="0.2">
      <c r="A87" s="66"/>
      <c r="B87" s="53">
        <v>24334284</v>
      </c>
      <c r="C87" t="s">
        <v>718</v>
      </c>
      <c r="D87" t="s">
        <v>0</v>
      </c>
      <c r="E87" s="44">
        <v>24</v>
      </c>
      <c r="F87" s="51" t="s">
        <v>768</v>
      </c>
      <c r="G87" s="1">
        <v>19305</v>
      </c>
      <c r="H87" t="s">
        <v>1</v>
      </c>
      <c r="I87" t="s">
        <v>2</v>
      </c>
      <c r="J87" s="50" t="s">
        <v>813</v>
      </c>
      <c r="K87" t="s">
        <v>789</v>
      </c>
      <c r="L87" s="2">
        <v>42011</v>
      </c>
      <c r="M87" t="s">
        <v>892</v>
      </c>
    </row>
    <row r="88" spans="1:13" x14ac:dyDescent="0.2">
      <c r="A88" s="66"/>
      <c r="B88" s="53">
        <v>25389770</v>
      </c>
      <c r="C88" t="s">
        <v>890</v>
      </c>
      <c r="D88" t="s">
        <v>0</v>
      </c>
      <c r="E88" s="44">
        <v>20</v>
      </c>
      <c r="F88" s="51" t="s">
        <v>768</v>
      </c>
      <c r="G88" s="1">
        <v>8535</v>
      </c>
      <c r="H88" t="s">
        <v>4</v>
      </c>
      <c r="I88" t="s">
        <v>5</v>
      </c>
      <c r="J88" s="50" t="s">
        <v>813</v>
      </c>
      <c r="K88" t="s">
        <v>11</v>
      </c>
      <c r="L88" s="2">
        <v>42249</v>
      </c>
      <c r="M88" t="s">
        <v>353</v>
      </c>
    </row>
    <row r="89" spans="1:13" x14ac:dyDescent="0.2">
      <c r="A89" s="66"/>
      <c r="B89" s="53">
        <v>5814867</v>
      </c>
      <c r="C89" t="s">
        <v>57</v>
      </c>
      <c r="D89" t="s">
        <v>0</v>
      </c>
      <c r="E89" s="44">
        <v>55</v>
      </c>
      <c r="F89" s="51" t="s">
        <v>769</v>
      </c>
      <c r="G89" s="1">
        <v>27835</v>
      </c>
      <c r="H89" t="s">
        <v>1</v>
      </c>
      <c r="I89" t="s">
        <v>8</v>
      </c>
      <c r="J89" s="50" t="s">
        <v>813</v>
      </c>
      <c r="K89" t="s">
        <v>11</v>
      </c>
      <c r="L89" s="2">
        <v>36331</v>
      </c>
      <c r="M89" t="s">
        <v>15</v>
      </c>
    </row>
    <row r="90" spans="1:13" x14ac:dyDescent="0.2">
      <c r="A90" s="66"/>
      <c r="B90" s="53">
        <v>7793289</v>
      </c>
      <c r="C90" t="s">
        <v>96</v>
      </c>
      <c r="D90" t="s">
        <v>0</v>
      </c>
      <c r="E90" s="44">
        <v>53</v>
      </c>
      <c r="F90" s="51" t="s">
        <v>769</v>
      </c>
      <c r="G90" s="1">
        <v>24740</v>
      </c>
      <c r="H90" t="s">
        <v>1</v>
      </c>
      <c r="I90" t="s">
        <v>3</v>
      </c>
      <c r="J90" s="50" t="s">
        <v>813</v>
      </c>
      <c r="K90" t="s">
        <v>11</v>
      </c>
      <c r="L90" s="2">
        <v>36331</v>
      </c>
      <c r="M90" t="s">
        <v>15</v>
      </c>
    </row>
    <row r="91" spans="1:13" x14ac:dyDescent="0.2">
      <c r="A91" s="66"/>
      <c r="B91" s="53">
        <v>5192399</v>
      </c>
      <c r="C91" t="s">
        <v>50</v>
      </c>
      <c r="D91" t="s">
        <v>0</v>
      </c>
      <c r="E91" s="44">
        <v>57</v>
      </c>
      <c r="F91" s="51" t="s">
        <v>769</v>
      </c>
      <c r="G91" s="1">
        <v>13650</v>
      </c>
      <c r="H91" t="s">
        <v>4</v>
      </c>
      <c r="I91" t="s">
        <v>5</v>
      </c>
      <c r="J91" s="50" t="s">
        <v>813</v>
      </c>
      <c r="K91" t="s">
        <v>11</v>
      </c>
      <c r="L91" s="2">
        <v>36331</v>
      </c>
      <c r="M91" t="s">
        <v>48</v>
      </c>
    </row>
    <row r="92" spans="1:13" x14ac:dyDescent="0.2">
      <c r="A92" s="66"/>
      <c r="B92" s="53">
        <v>8596181</v>
      </c>
      <c r="C92" t="s">
        <v>164</v>
      </c>
      <c r="D92" t="s">
        <v>0</v>
      </c>
      <c r="E92" s="44">
        <v>50</v>
      </c>
      <c r="F92" s="51" t="s">
        <v>769</v>
      </c>
      <c r="G92" s="1">
        <v>13265</v>
      </c>
      <c r="H92" t="s">
        <v>4</v>
      </c>
      <c r="I92" t="s">
        <v>34</v>
      </c>
      <c r="J92" s="50" t="s">
        <v>813</v>
      </c>
      <c r="K92" t="s">
        <v>11</v>
      </c>
      <c r="L92" s="2">
        <v>36339</v>
      </c>
      <c r="M92" t="s">
        <v>48</v>
      </c>
    </row>
    <row r="93" spans="1:13" x14ac:dyDescent="0.2">
      <c r="A93" s="66"/>
      <c r="B93" s="53">
        <v>3379150</v>
      </c>
      <c r="C93" t="s">
        <v>14</v>
      </c>
      <c r="D93" t="s">
        <v>0</v>
      </c>
      <c r="E93" s="44">
        <v>68</v>
      </c>
      <c r="F93" s="51" t="s">
        <v>769</v>
      </c>
      <c r="G93" s="1">
        <v>28415</v>
      </c>
      <c r="H93" t="s">
        <v>1</v>
      </c>
      <c r="I93" t="s">
        <v>3</v>
      </c>
      <c r="J93" s="50" t="s">
        <v>813</v>
      </c>
      <c r="K93" t="s">
        <v>11</v>
      </c>
      <c r="L93" s="2">
        <v>36374</v>
      </c>
      <c r="M93" t="s">
        <v>15</v>
      </c>
    </row>
    <row r="94" spans="1:13" x14ac:dyDescent="0.2">
      <c r="A94" s="66"/>
      <c r="B94" s="53">
        <v>11887496</v>
      </c>
      <c r="C94" t="s">
        <v>249</v>
      </c>
      <c r="D94" t="s">
        <v>0</v>
      </c>
      <c r="E94" s="44">
        <v>43</v>
      </c>
      <c r="F94" s="51" t="s">
        <v>769</v>
      </c>
      <c r="G94" s="1">
        <v>20790</v>
      </c>
      <c r="H94" t="s">
        <v>1</v>
      </c>
      <c r="I94" t="s">
        <v>27</v>
      </c>
      <c r="J94" s="50" t="s">
        <v>813</v>
      </c>
      <c r="K94" t="s">
        <v>11</v>
      </c>
      <c r="L94" s="2">
        <v>36374</v>
      </c>
      <c r="M94" t="s">
        <v>15</v>
      </c>
    </row>
    <row r="95" spans="1:13" x14ac:dyDescent="0.2">
      <c r="A95" s="66"/>
      <c r="B95" s="53">
        <v>5716147</v>
      </c>
      <c r="C95" t="s">
        <v>56</v>
      </c>
      <c r="D95" t="s">
        <v>0</v>
      </c>
      <c r="E95" s="44">
        <v>58</v>
      </c>
      <c r="F95" s="51" t="s">
        <v>769</v>
      </c>
      <c r="G95" s="1">
        <v>10054</v>
      </c>
      <c r="H95" t="s">
        <v>4</v>
      </c>
      <c r="I95" t="s">
        <v>31</v>
      </c>
      <c r="J95" s="50" t="s">
        <v>813</v>
      </c>
      <c r="K95" t="s">
        <v>11</v>
      </c>
      <c r="L95" s="2">
        <v>36374</v>
      </c>
      <c r="M95" t="s">
        <v>12</v>
      </c>
    </row>
    <row r="96" spans="1:13" x14ac:dyDescent="0.2">
      <c r="A96" s="66"/>
      <c r="B96" s="53">
        <v>8274976</v>
      </c>
      <c r="C96" t="s">
        <v>131</v>
      </c>
      <c r="D96" t="s">
        <v>0</v>
      </c>
      <c r="E96" s="44">
        <v>42</v>
      </c>
      <c r="F96" s="51" t="s">
        <v>769</v>
      </c>
      <c r="G96" s="1">
        <v>26510</v>
      </c>
      <c r="H96" t="s">
        <v>1</v>
      </c>
      <c r="I96" t="s">
        <v>27</v>
      </c>
      <c r="J96" s="50" t="s">
        <v>813</v>
      </c>
      <c r="K96" t="s">
        <v>11</v>
      </c>
      <c r="L96" s="2">
        <v>36465</v>
      </c>
      <c r="M96" t="s">
        <v>15</v>
      </c>
    </row>
    <row r="97" spans="1:13" x14ac:dyDescent="0.2">
      <c r="A97" s="66"/>
      <c r="B97" s="53">
        <v>11826378</v>
      </c>
      <c r="C97" t="s">
        <v>242</v>
      </c>
      <c r="D97" t="s">
        <v>0</v>
      </c>
      <c r="E97" s="44">
        <v>41</v>
      </c>
      <c r="F97" s="51" t="s">
        <v>769</v>
      </c>
      <c r="G97" s="1">
        <v>22630</v>
      </c>
      <c r="H97" t="s">
        <v>1</v>
      </c>
      <c r="I97" t="s">
        <v>10</v>
      </c>
      <c r="J97" s="50" t="s">
        <v>813</v>
      </c>
      <c r="K97" t="s">
        <v>11</v>
      </c>
      <c r="L97" s="2">
        <v>36465</v>
      </c>
      <c r="M97" t="s">
        <v>15</v>
      </c>
    </row>
    <row r="98" spans="1:13" x14ac:dyDescent="0.2">
      <c r="A98" s="66"/>
      <c r="B98" s="53">
        <v>11830296</v>
      </c>
      <c r="C98" t="s">
        <v>243</v>
      </c>
      <c r="D98" t="s">
        <v>0</v>
      </c>
      <c r="E98" s="44">
        <v>40</v>
      </c>
      <c r="F98" s="51" t="s">
        <v>769</v>
      </c>
      <c r="G98" s="1">
        <v>44335</v>
      </c>
      <c r="H98" t="s">
        <v>1</v>
      </c>
      <c r="I98" t="s">
        <v>2</v>
      </c>
      <c r="J98" s="50" t="s">
        <v>813</v>
      </c>
      <c r="K98" t="s">
        <v>11</v>
      </c>
      <c r="L98" s="2">
        <v>36465</v>
      </c>
      <c r="M98" t="s">
        <v>244</v>
      </c>
    </row>
    <row r="99" spans="1:13" x14ac:dyDescent="0.2">
      <c r="A99" s="66"/>
      <c r="B99" s="53">
        <v>11831202</v>
      </c>
      <c r="C99" t="s">
        <v>245</v>
      </c>
      <c r="D99" t="s">
        <v>0</v>
      </c>
      <c r="E99" s="44">
        <v>43</v>
      </c>
      <c r="F99" s="51" t="s">
        <v>769</v>
      </c>
      <c r="G99" s="1">
        <v>21640</v>
      </c>
      <c r="H99" t="s">
        <v>1</v>
      </c>
      <c r="I99" t="s">
        <v>27</v>
      </c>
      <c r="J99" s="50" t="s">
        <v>813</v>
      </c>
      <c r="K99" t="s">
        <v>11</v>
      </c>
      <c r="L99" s="2">
        <v>36465</v>
      </c>
      <c r="M99" t="s">
        <v>15</v>
      </c>
    </row>
    <row r="100" spans="1:13" x14ac:dyDescent="0.2">
      <c r="A100" s="66"/>
      <c r="B100" s="53">
        <v>12276411</v>
      </c>
      <c r="C100" t="s">
        <v>277</v>
      </c>
      <c r="D100" t="s">
        <v>0</v>
      </c>
      <c r="E100" s="44">
        <v>41</v>
      </c>
      <c r="F100" s="51" t="s">
        <v>769</v>
      </c>
      <c r="G100" s="1">
        <v>26575</v>
      </c>
      <c r="H100" t="s">
        <v>1</v>
      </c>
      <c r="I100" t="s">
        <v>10</v>
      </c>
      <c r="J100" s="50" t="s">
        <v>813</v>
      </c>
      <c r="K100" t="s">
        <v>11</v>
      </c>
      <c r="L100" s="2">
        <v>36465</v>
      </c>
      <c r="M100" t="s">
        <v>15</v>
      </c>
    </row>
    <row r="101" spans="1:13" x14ac:dyDescent="0.2">
      <c r="A101" s="66"/>
      <c r="B101" s="53">
        <v>8268132</v>
      </c>
      <c r="C101" t="s">
        <v>123</v>
      </c>
      <c r="D101" t="s">
        <v>0</v>
      </c>
      <c r="E101" s="44">
        <v>45</v>
      </c>
      <c r="F101" s="51" t="s">
        <v>769</v>
      </c>
      <c r="G101" s="1">
        <v>13095</v>
      </c>
      <c r="H101" t="s">
        <v>4</v>
      </c>
      <c r="I101" t="s">
        <v>34</v>
      </c>
      <c r="J101" s="50" t="s">
        <v>813</v>
      </c>
      <c r="K101" t="s">
        <v>11</v>
      </c>
      <c r="L101" s="2">
        <v>36465</v>
      </c>
      <c r="M101" t="s">
        <v>48</v>
      </c>
    </row>
    <row r="102" spans="1:13" x14ac:dyDescent="0.2">
      <c r="A102" s="66"/>
      <c r="B102" s="53">
        <v>10859960</v>
      </c>
      <c r="C102" t="s">
        <v>211</v>
      </c>
      <c r="D102" t="s">
        <v>0</v>
      </c>
      <c r="E102" s="44">
        <v>43</v>
      </c>
      <c r="F102" s="51" t="s">
        <v>769</v>
      </c>
      <c r="G102" s="1">
        <v>13095</v>
      </c>
      <c r="H102" t="s">
        <v>4</v>
      </c>
      <c r="I102" t="s">
        <v>31</v>
      </c>
      <c r="J102" s="50" t="s">
        <v>813</v>
      </c>
      <c r="K102" t="s">
        <v>11</v>
      </c>
      <c r="L102" s="2">
        <v>36465</v>
      </c>
      <c r="M102" t="s">
        <v>48</v>
      </c>
    </row>
    <row r="103" spans="1:13" x14ac:dyDescent="0.2">
      <c r="A103" s="66"/>
      <c r="B103" s="53">
        <v>11417002</v>
      </c>
      <c r="C103" t="s">
        <v>225</v>
      </c>
      <c r="D103" t="s">
        <v>0</v>
      </c>
      <c r="E103" s="44">
        <v>42</v>
      </c>
      <c r="F103" s="51" t="s">
        <v>769</v>
      </c>
      <c r="G103" s="1">
        <v>9977</v>
      </c>
      <c r="H103" t="s">
        <v>4</v>
      </c>
      <c r="I103" t="s">
        <v>31</v>
      </c>
      <c r="J103" s="50" t="s">
        <v>813</v>
      </c>
      <c r="K103" t="s">
        <v>11</v>
      </c>
      <c r="L103" s="2">
        <v>36465</v>
      </c>
      <c r="M103" t="s">
        <v>12</v>
      </c>
    </row>
    <row r="104" spans="1:13" x14ac:dyDescent="0.2">
      <c r="A104" s="66"/>
      <c r="B104" s="53">
        <v>12270946</v>
      </c>
      <c r="C104" t="s">
        <v>269</v>
      </c>
      <c r="D104" t="s">
        <v>0</v>
      </c>
      <c r="E104" s="44">
        <v>41</v>
      </c>
      <c r="F104" s="51" t="s">
        <v>769</v>
      </c>
      <c r="G104" s="1">
        <v>13155</v>
      </c>
      <c r="H104" t="s">
        <v>4</v>
      </c>
      <c r="I104" t="s">
        <v>31</v>
      </c>
      <c r="J104" s="50" t="s">
        <v>813</v>
      </c>
      <c r="K104" t="s">
        <v>11</v>
      </c>
      <c r="L104" s="2">
        <v>36465</v>
      </c>
      <c r="M104" t="s">
        <v>48</v>
      </c>
    </row>
    <row r="105" spans="1:13" x14ac:dyDescent="0.2">
      <c r="A105" s="66"/>
      <c r="B105" s="53">
        <v>12871067</v>
      </c>
      <c r="C105" t="s">
        <v>315</v>
      </c>
      <c r="D105" t="s">
        <v>0</v>
      </c>
      <c r="E105" s="44">
        <v>41</v>
      </c>
      <c r="F105" s="51" t="s">
        <v>769</v>
      </c>
      <c r="G105" s="1">
        <v>13095</v>
      </c>
      <c r="H105" t="s">
        <v>4</v>
      </c>
      <c r="I105" t="s">
        <v>34</v>
      </c>
      <c r="J105" s="50" t="s">
        <v>813</v>
      </c>
      <c r="K105" t="s">
        <v>11</v>
      </c>
      <c r="L105" s="2">
        <v>36465</v>
      </c>
      <c r="M105" t="s">
        <v>48</v>
      </c>
    </row>
    <row r="106" spans="1:13" x14ac:dyDescent="0.2">
      <c r="A106" s="66"/>
      <c r="B106" s="53">
        <v>13167054</v>
      </c>
      <c r="C106" t="s">
        <v>325</v>
      </c>
      <c r="D106" t="s">
        <v>0</v>
      </c>
      <c r="E106" s="44">
        <v>40</v>
      </c>
      <c r="F106" s="51" t="s">
        <v>769</v>
      </c>
      <c r="G106" s="1">
        <v>13095</v>
      </c>
      <c r="H106" t="s">
        <v>4</v>
      </c>
      <c r="I106" t="s">
        <v>5</v>
      </c>
      <c r="J106" s="50" t="s">
        <v>813</v>
      </c>
      <c r="K106" t="s">
        <v>11</v>
      </c>
      <c r="L106" s="2">
        <v>36465</v>
      </c>
      <c r="M106" t="s">
        <v>48</v>
      </c>
    </row>
    <row r="107" spans="1:13" x14ac:dyDescent="0.2">
      <c r="A107" s="66"/>
      <c r="B107" s="53">
        <v>14077592</v>
      </c>
      <c r="C107" t="s">
        <v>375</v>
      </c>
      <c r="D107" t="s">
        <v>0</v>
      </c>
      <c r="E107" s="44">
        <v>37</v>
      </c>
      <c r="F107" s="51" t="s">
        <v>769</v>
      </c>
      <c r="G107" s="1">
        <v>10028</v>
      </c>
      <c r="H107" t="s">
        <v>4</v>
      </c>
      <c r="I107" t="s">
        <v>31</v>
      </c>
      <c r="J107" s="50" t="s">
        <v>813</v>
      </c>
      <c r="K107" t="s">
        <v>11</v>
      </c>
      <c r="L107" s="2">
        <v>36465</v>
      </c>
      <c r="M107" t="s">
        <v>12</v>
      </c>
    </row>
    <row r="108" spans="1:13" x14ac:dyDescent="0.2">
      <c r="A108" s="66"/>
      <c r="B108" s="53">
        <v>14803246</v>
      </c>
      <c r="C108" t="s">
        <v>421</v>
      </c>
      <c r="D108" t="s">
        <v>0</v>
      </c>
      <c r="E108" s="44">
        <v>36</v>
      </c>
      <c r="F108" s="51" t="s">
        <v>769</v>
      </c>
      <c r="G108" s="1">
        <v>9998</v>
      </c>
      <c r="H108" t="s">
        <v>4</v>
      </c>
      <c r="I108" t="s">
        <v>5</v>
      </c>
      <c r="J108" s="50" t="s">
        <v>813</v>
      </c>
      <c r="K108" t="s">
        <v>11</v>
      </c>
      <c r="L108" s="2">
        <v>36465</v>
      </c>
      <c r="M108" t="s">
        <v>12</v>
      </c>
    </row>
    <row r="109" spans="1:13" x14ac:dyDescent="0.2">
      <c r="A109" s="66"/>
      <c r="B109" s="53">
        <v>13124619</v>
      </c>
      <c r="C109" t="s">
        <v>321</v>
      </c>
      <c r="D109" t="s">
        <v>0</v>
      </c>
      <c r="E109" s="44">
        <v>39</v>
      </c>
      <c r="F109" s="51" t="s">
        <v>769</v>
      </c>
      <c r="G109" s="1">
        <v>21640</v>
      </c>
      <c r="H109" t="s">
        <v>1</v>
      </c>
      <c r="I109" t="s">
        <v>3</v>
      </c>
      <c r="J109" s="50" t="s">
        <v>813</v>
      </c>
      <c r="K109" t="s">
        <v>11</v>
      </c>
      <c r="L109" s="2">
        <v>36752</v>
      </c>
      <c r="M109" t="s">
        <v>15</v>
      </c>
    </row>
    <row r="110" spans="1:13" x14ac:dyDescent="0.2">
      <c r="A110" s="66"/>
      <c r="B110" s="53">
        <v>12274433</v>
      </c>
      <c r="C110" t="s">
        <v>271</v>
      </c>
      <c r="D110" t="s">
        <v>0</v>
      </c>
      <c r="E110" s="44">
        <v>41</v>
      </c>
      <c r="F110" s="51" t="s">
        <v>769</v>
      </c>
      <c r="G110" s="1">
        <v>33680</v>
      </c>
      <c r="H110" t="s">
        <v>1</v>
      </c>
      <c r="I110" t="s">
        <v>2</v>
      </c>
      <c r="J110" s="50" t="s">
        <v>813</v>
      </c>
      <c r="K110" t="s">
        <v>11</v>
      </c>
      <c r="L110" s="2">
        <v>36773</v>
      </c>
      <c r="M110" t="s">
        <v>272</v>
      </c>
    </row>
    <row r="111" spans="1:13" x14ac:dyDescent="0.2">
      <c r="A111" s="66"/>
      <c r="B111" s="53">
        <v>9540191</v>
      </c>
      <c r="C111" t="s">
        <v>178</v>
      </c>
      <c r="D111" t="s">
        <v>0</v>
      </c>
      <c r="E111" s="44">
        <v>51</v>
      </c>
      <c r="F111" s="51" t="s">
        <v>769</v>
      </c>
      <c r="G111" s="1">
        <v>9920</v>
      </c>
      <c r="H111" t="s">
        <v>4</v>
      </c>
      <c r="I111" t="s">
        <v>46</v>
      </c>
      <c r="J111" s="50" t="s">
        <v>813</v>
      </c>
      <c r="K111" t="s">
        <v>11</v>
      </c>
      <c r="L111" s="2">
        <v>36831</v>
      </c>
      <c r="M111" t="s">
        <v>12</v>
      </c>
    </row>
    <row r="112" spans="1:13" x14ac:dyDescent="0.2">
      <c r="A112" s="66"/>
      <c r="B112" s="53">
        <v>12338082</v>
      </c>
      <c r="C112" t="s">
        <v>281</v>
      </c>
      <c r="D112" t="s">
        <v>0</v>
      </c>
      <c r="E112" s="44">
        <v>41</v>
      </c>
      <c r="F112" s="51" t="s">
        <v>769</v>
      </c>
      <c r="G112" s="1">
        <v>13280</v>
      </c>
      <c r="H112" t="s">
        <v>4</v>
      </c>
      <c r="I112" t="s">
        <v>46</v>
      </c>
      <c r="J112" s="50" t="s">
        <v>813</v>
      </c>
      <c r="K112" t="s">
        <v>11</v>
      </c>
      <c r="L112" s="2">
        <v>36831</v>
      </c>
      <c r="M112" t="s">
        <v>48</v>
      </c>
    </row>
    <row r="113" spans="1:13" x14ac:dyDescent="0.2">
      <c r="A113" s="66"/>
      <c r="B113" s="53">
        <v>10372195</v>
      </c>
      <c r="C113" t="s">
        <v>206</v>
      </c>
      <c r="D113" t="s">
        <v>0</v>
      </c>
      <c r="E113" s="44">
        <v>47</v>
      </c>
      <c r="F113" s="51" t="s">
        <v>769</v>
      </c>
      <c r="G113" s="1">
        <v>13170</v>
      </c>
      <c r="H113" t="s">
        <v>4</v>
      </c>
      <c r="I113" t="s">
        <v>46</v>
      </c>
      <c r="J113" s="50" t="s">
        <v>813</v>
      </c>
      <c r="K113" s="45" t="s">
        <v>11</v>
      </c>
      <c r="L113" s="2">
        <v>36843</v>
      </c>
      <c r="M113" t="s">
        <v>48</v>
      </c>
    </row>
    <row r="114" spans="1:13" x14ac:dyDescent="0.2">
      <c r="A114" s="66"/>
      <c r="B114" s="53">
        <v>8698181</v>
      </c>
      <c r="C114" t="s">
        <v>170</v>
      </c>
      <c r="D114" t="s">
        <v>0</v>
      </c>
      <c r="E114" s="44">
        <v>47</v>
      </c>
      <c r="F114" s="51" t="s">
        <v>769</v>
      </c>
      <c r="G114" s="1">
        <v>10144</v>
      </c>
      <c r="H114" t="s">
        <v>4</v>
      </c>
      <c r="I114" t="s">
        <v>34</v>
      </c>
      <c r="J114" s="50" t="s">
        <v>813</v>
      </c>
      <c r="K114" t="s">
        <v>11</v>
      </c>
      <c r="L114" s="2">
        <v>36880</v>
      </c>
      <c r="M114" t="s">
        <v>12</v>
      </c>
    </row>
    <row r="115" spans="1:13" x14ac:dyDescent="0.2">
      <c r="A115" s="66"/>
      <c r="B115" s="53">
        <v>10289886</v>
      </c>
      <c r="C115" t="s">
        <v>201</v>
      </c>
      <c r="D115" t="s">
        <v>0</v>
      </c>
      <c r="E115" s="44">
        <v>46</v>
      </c>
      <c r="F115" s="51" t="s">
        <v>769</v>
      </c>
      <c r="G115" s="1">
        <v>9957</v>
      </c>
      <c r="H115" t="s">
        <v>4</v>
      </c>
      <c r="I115" t="s">
        <v>46</v>
      </c>
      <c r="J115" s="50" t="s">
        <v>813</v>
      </c>
      <c r="K115" t="s">
        <v>11</v>
      </c>
      <c r="L115" s="2">
        <v>36881</v>
      </c>
      <c r="M115" t="s">
        <v>12</v>
      </c>
    </row>
    <row r="116" spans="1:13" x14ac:dyDescent="0.2">
      <c r="A116" s="66"/>
      <c r="B116" s="53">
        <v>5056765</v>
      </c>
      <c r="C116" t="s">
        <v>45</v>
      </c>
      <c r="D116" t="s">
        <v>0</v>
      </c>
      <c r="E116" s="44">
        <v>58</v>
      </c>
      <c r="F116" s="51" t="s">
        <v>769</v>
      </c>
      <c r="G116" s="1">
        <v>10021</v>
      </c>
      <c r="H116" t="s">
        <v>4</v>
      </c>
      <c r="I116" t="s">
        <v>31</v>
      </c>
      <c r="J116" s="50" t="s">
        <v>813</v>
      </c>
      <c r="K116" t="s">
        <v>11</v>
      </c>
      <c r="L116" s="2">
        <v>36887</v>
      </c>
      <c r="M116" t="s">
        <v>12</v>
      </c>
    </row>
    <row r="117" spans="1:13" x14ac:dyDescent="0.2">
      <c r="A117" s="66"/>
      <c r="B117" s="53">
        <v>7872394</v>
      </c>
      <c r="C117" t="s">
        <v>99</v>
      </c>
      <c r="D117" t="s">
        <v>0</v>
      </c>
      <c r="E117" s="44">
        <v>51</v>
      </c>
      <c r="F117" s="51" t="s">
        <v>769</v>
      </c>
      <c r="G117" s="1">
        <v>9790</v>
      </c>
      <c r="H117" t="s">
        <v>4</v>
      </c>
      <c r="I117" t="s">
        <v>5</v>
      </c>
      <c r="J117" s="50" t="s">
        <v>813</v>
      </c>
      <c r="K117" t="s">
        <v>11</v>
      </c>
      <c r="L117" s="2">
        <v>37561</v>
      </c>
      <c r="M117" t="s">
        <v>12</v>
      </c>
    </row>
    <row r="118" spans="1:13" x14ac:dyDescent="0.2">
      <c r="A118" s="66"/>
      <c r="B118" s="53">
        <v>12275896</v>
      </c>
      <c r="C118" t="s">
        <v>275</v>
      </c>
      <c r="D118" t="s">
        <v>0</v>
      </c>
      <c r="E118" s="44">
        <v>40</v>
      </c>
      <c r="F118" s="51" t="s">
        <v>769</v>
      </c>
      <c r="G118" s="1">
        <v>9602</v>
      </c>
      <c r="H118" t="s">
        <v>4</v>
      </c>
      <c r="I118" t="s">
        <v>5</v>
      </c>
      <c r="J118" s="50" t="s">
        <v>813</v>
      </c>
      <c r="K118" t="s">
        <v>11</v>
      </c>
      <c r="L118" s="2">
        <v>37991</v>
      </c>
      <c r="M118" t="s">
        <v>12</v>
      </c>
    </row>
    <row r="119" spans="1:13" x14ac:dyDescent="0.2">
      <c r="A119" s="66"/>
      <c r="B119" s="53">
        <v>12276577</v>
      </c>
      <c r="C119" t="s">
        <v>278</v>
      </c>
      <c r="D119" t="s">
        <v>0</v>
      </c>
      <c r="E119" s="44">
        <v>40</v>
      </c>
      <c r="F119" s="51" t="s">
        <v>769</v>
      </c>
      <c r="G119" s="1">
        <v>13095</v>
      </c>
      <c r="H119" t="s">
        <v>4</v>
      </c>
      <c r="I119" t="s">
        <v>46</v>
      </c>
      <c r="J119" s="50" t="s">
        <v>813</v>
      </c>
      <c r="K119" t="s">
        <v>11</v>
      </c>
      <c r="L119" s="2">
        <v>37991</v>
      </c>
      <c r="M119" t="s">
        <v>48</v>
      </c>
    </row>
    <row r="120" spans="1:13" x14ac:dyDescent="0.2">
      <c r="A120" s="66"/>
      <c r="B120" s="53">
        <v>13615744</v>
      </c>
      <c r="C120" t="s">
        <v>341</v>
      </c>
      <c r="D120" t="s">
        <v>0</v>
      </c>
      <c r="E120" s="44">
        <v>38</v>
      </c>
      <c r="F120" s="51" t="s">
        <v>769</v>
      </c>
      <c r="G120" s="1">
        <v>9628</v>
      </c>
      <c r="H120" t="s">
        <v>4</v>
      </c>
      <c r="I120" t="s">
        <v>34</v>
      </c>
      <c r="J120" s="50" t="s">
        <v>813</v>
      </c>
      <c r="K120" t="s">
        <v>11</v>
      </c>
      <c r="L120" s="2">
        <v>37991</v>
      </c>
      <c r="M120" t="s">
        <v>12</v>
      </c>
    </row>
    <row r="121" spans="1:13" x14ac:dyDescent="0.2">
      <c r="A121" s="66"/>
      <c r="B121" s="53">
        <v>14420873</v>
      </c>
      <c r="C121" t="s">
        <v>400</v>
      </c>
      <c r="D121" t="s">
        <v>0</v>
      </c>
      <c r="E121" s="44">
        <v>36</v>
      </c>
      <c r="F121" s="51" t="s">
        <v>769</v>
      </c>
      <c r="G121" s="1">
        <v>13095</v>
      </c>
      <c r="H121" t="s">
        <v>4</v>
      </c>
      <c r="I121" t="s">
        <v>5</v>
      </c>
      <c r="J121" s="50" t="s">
        <v>813</v>
      </c>
      <c r="K121" t="s">
        <v>11</v>
      </c>
      <c r="L121" s="2">
        <v>37991</v>
      </c>
      <c r="M121" t="s">
        <v>48</v>
      </c>
    </row>
    <row r="122" spans="1:13" x14ac:dyDescent="0.2">
      <c r="A122" s="66"/>
      <c r="B122" s="53">
        <v>14596250</v>
      </c>
      <c r="C122" t="s">
        <v>410</v>
      </c>
      <c r="D122" t="s">
        <v>0</v>
      </c>
      <c r="E122" s="44">
        <v>35</v>
      </c>
      <c r="F122" s="51" t="s">
        <v>769</v>
      </c>
      <c r="G122" s="1">
        <v>9602</v>
      </c>
      <c r="H122" t="s">
        <v>4</v>
      </c>
      <c r="I122" t="s">
        <v>34</v>
      </c>
      <c r="J122" s="50" t="s">
        <v>813</v>
      </c>
      <c r="K122" t="s">
        <v>11</v>
      </c>
      <c r="L122" s="2">
        <v>37991</v>
      </c>
      <c r="M122" t="s">
        <v>12</v>
      </c>
    </row>
    <row r="123" spans="1:13" x14ac:dyDescent="0.2">
      <c r="A123" s="66"/>
      <c r="B123" s="53">
        <v>15111184</v>
      </c>
      <c r="C123" t="s">
        <v>431</v>
      </c>
      <c r="D123" t="s">
        <v>0</v>
      </c>
      <c r="E123" s="44">
        <v>35</v>
      </c>
      <c r="F123" s="51" t="s">
        <v>769</v>
      </c>
      <c r="G123" s="1">
        <v>13095</v>
      </c>
      <c r="H123" t="s">
        <v>4</v>
      </c>
      <c r="I123" t="s">
        <v>34</v>
      </c>
      <c r="J123" s="50" t="s">
        <v>813</v>
      </c>
      <c r="K123" t="s">
        <v>11</v>
      </c>
      <c r="L123" s="2">
        <v>37991</v>
      </c>
      <c r="M123" t="s">
        <v>48</v>
      </c>
    </row>
    <row r="124" spans="1:13" x14ac:dyDescent="0.2">
      <c r="A124" s="66"/>
      <c r="B124" s="53">
        <v>15281601</v>
      </c>
      <c r="C124" t="s">
        <v>440</v>
      </c>
      <c r="D124" t="s">
        <v>0</v>
      </c>
      <c r="E124" s="44">
        <v>33</v>
      </c>
      <c r="F124" s="51" t="s">
        <v>769</v>
      </c>
      <c r="G124" s="1">
        <v>13095</v>
      </c>
      <c r="H124" t="s">
        <v>4</v>
      </c>
      <c r="I124" t="s">
        <v>5</v>
      </c>
      <c r="J124" s="50" t="s">
        <v>813</v>
      </c>
      <c r="K124" t="s">
        <v>11</v>
      </c>
      <c r="L124" s="2">
        <v>38231</v>
      </c>
      <c r="M124" t="s">
        <v>48</v>
      </c>
    </row>
    <row r="125" spans="1:13" x14ac:dyDescent="0.2">
      <c r="A125" s="66"/>
      <c r="B125" s="53">
        <v>15875487</v>
      </c>
      <c r="C125" t="s">
        <v>459</v>
      </c>
      <c r="D125" t="s">
        <v>0</v>
      </c>
      <c r="E125" s="44">
        <v>32</v>
      </c>
      <c r="F125" s="51" t="s">
        <v>769</v>
      </c>
      <c r="G125" s="1">
        <v>9575</v>
      </c>
      <c r="H125" t="s">
        <v>4</v>
      </c>
      <c r="I125" t="s">
        <v>5</v>
      </c>
      <c r="J125" s="50" t="s">
        <v>813</v>
      </c>
      <c r="K125" t="s">
        <v>11</v>
      </c>
      <c r="L125" s="2">
        <v>38328</v>
      </c>
      <c r="M125" t="s">
        <v>12</v>
      </c>
    </row>
    <row r="126" spans="1:13" x14ac:dyDescent="0.2">
      <c r="A126" s="66"/>
      <c r="B126" s="53">
        <v>12269364</v>
      </c>
      <c r="C126" t="s">
        <v>268</v>
      </c>
      <c r="D126" t="s">
        <v>0</v>
      </c>
      <c r="E126" s="44">
        <v>41</v>
      </c>
      <c r="F126" s="51" t="s">
        <v>769</v>
      </c>
      <c r="G126" s="1">
        <v>9602</v>
      </c>
      <c r="H126" t="s">
        <v>4</v>
      </c>
      <c r="I126" t="s">
        <v>46</v>
      </c>
      <c r="J126" s="50" t="s">
        <v>813</v>
      </c>
      <c r="K126" t="s">
        <v>11</v>
      </c>
      <c r="L126" s="2">
        <v>38357</v>
      </c>
      <c r="M126" t="s">
        <v>12</v>
      </c>
    </row>
    <row r="127" spans="1:13" x14ac:dyDescent="0.2">
      <c r="A127" s="66"/>
      <c r="B127" s="53">
        <v>13755223</v>
      </c>
      <c r="C127" t="s">
        <v>357</v>
      </c>
      <c r="D127" t="s">
        <v>0</v>
      </c>
      <c r="E127" s="44">
        <v>36</v>
      </c>
      <c r="F127" s="51" t="s">
        <v>769</v>
      </c>
      <c r="G127" s="1">
        <v>9575</v>
      </c>
      <c r="H127" t="s">
        <v>4</v>
      </c>
      <c r="I127" t="s">
        <v>31</v>
      </c>
      <c r="J127" s="50" t="s">
        <v>813</v>
      </c>
      <c r="K127" t="s">
        <v>11</v>
      </c>
      <c r="L127" s="2">
        <v>38610</v>
      </c>
      <c r="M127" t="s">
        <v>12</v>
      </c>
    </row>
    <row r="128" spans="1:13" x14ac:dyDescent="0.2">
      <c r="A128" s="66"/>
      <c r="B128" s="53">
        <v>20632840</v>
      </c>
      <c r="C128" t="s">
        <v>584</v>
      </c>
      <c r="D128" t="s">
        <v>0</v>
      </c>
      <c r="E128" s="44">
        <v>27</v>
      </c>
      <c r="F128" s="51" t="s">
        <v>769</v>
      </c>
      <c r="G128" s="1">
        <v>9275</v>
      </c>
      <c r="H128" t="s">
        <v>4</v>
      </c>
      <c r="I128" t="s">
        <v>46</v>
      </c>
      <c r="J128" s="50" t="s">
        <v>813</v>
      </c>
      <c r="K128" t="s">
        <v>11</v>
      </c>
      <c r="L128" s="2">
        <v>38943</v>
      </c>
      <c r="M128" t="s">
        <v>12</v>
      </c>
    </row>
    <row r="129" spans="1:13" x14ac:dyDescent="0.2">
      <c r="A129" s="66"/>
      <c r="B129" s="53">
        <v>16799887</v>
      </c>
      <c r="C129" t="s">
        <v>499</v>
      </c>
      <c r="D129" t="s">
        <v>0</v>
      </c>
      <c r="E129" s="44">
        <v>30</v>
      </c>
      <c r="F129" s="51" t="s">
        <v>769</v>
      </c>
      <c r="G129" s="1">
        <v>13095</v>
      </c>
      <c r="H129" t="s">
        <v>4</v>
      </c>
      <c r="I129" t="s">
        <v>31</v>
      </c>
      <c r="J129" s="50" t="s">
        <v>813</v>
      </c>
      <c r="K129" t="s">
        <v>11</v>
      </c>
      <c r="L129" s="2">
        <v>39134</v>
      </c>
      <c r="M129" t="s">
        <v>48</v>
      </c>
    </row>
    <row r="130" spans="1:13" x14ac:dyDescent="0.2">
      <c r="A130" s="66"/>
      <c r="B130" s="53">
        <v>19366829</v>
      </c>
      <c r="C130" t="s">
        <v>571</v>
      </c>
      <c r="D130" t="s">
        <v>0</v>
      </c>
      <c r="E130" s="44">
        <v>28</v>
      </c>
      <c r="F130" s="51" t="s">
        <v>769</v>
      </c>
      <c r="G130" s="1">
        <v>13035</v>
      </c>
      <c r="H130" t="s">
        <v>4</v>
      </c>
      <c r="I130" t="s">
        <v>31</v>
      </c>
      <c r="J130" s="50" t="s">
        <v>813</v>
      </c>
      <c r="K130" t="s">
        <v>11</v>
      </c>
      <c r="L130" s="2">
        <v>39134</v>
      </c>
      <c r="M130" t="s">
        <v>48</v>
      </c>
    </row>
    <row r="131" spans="1:13" x14ac:dyDescent="0.2">
      <c r="A131" s="66"/>
      <c r="B131" s="53">
        <v>12783846</v>
      </c>
      <c r="C131" t="s">
        <v>310</v>
      </c>
      <c r="D131" t="s">
        <v>0</v>
      </c>
      <c r="E131" s="44">
        <v>39</v>
      </c>
      <c r="F131" s="51" t="s">
        <v>769</v>
      </c>
      <c r="G131" s="1">
        <v>9383</v>
      </c>
      <c r="H131" t="s">
        <v>4</v>
      </c>
      <c r="I131" t="s">
        <v>5</v>
      </c>
      <c r="J131" s="50" t="s">
        <v>813</v>
      </c>
      <c r="K131" t="s">
        <v>11</v>
      </c>
      <c r="L131" s="2">
        <v>39134</v>
      </c>
      <c r="M131" t="s">
        <v>12</v>
      </c>
    </row>
    <row r="132" spans="1:13" x14ac:dyDescent="0.2">
      <c r="A132" s="66"/>
      <c r="B132" s="53">
        <v>14380844</v>
      </c>
      <c r="C132" t="s">
        <v>399</v>
      </c>
      <c r="D132" t="s">
        <v>0</v>
      </c>
      <c r="E132" s="44">
        <v>34</v>
      </c>
      <c r="F132" s="51" t="s">
        <v>769</v>
      </c>
      <c r="G132" s="1">
        <v>9383</v>
      </c>
      <c r="H132" t="s">
        <v>4</v>
      </c>
      <c r="I132" t="s">
        <v>5</v>
      </c>
      <c r="J132" s="50" t="s">
        <v>813</v>
      </c>
      <c r="K132" t="s">
        <v>11</v>
      </c>
      <c r="L132" s="2">
        <v>39134</v>
      </c>
      <c r="M132" t="s">
        <v>12</v>
      </c>
    </row>
    <row r="133" spans="1:13" x14ac:dyDescent="0.2">
      <c r="A133" s="66"/>
      <c r="B133" s="53">
        <v>14661960</v>
      </c>
      <c r="C133" t="s">
        <v>416</v>
      </c>
      <c r="D133" t="s">
        <v>0</v>
      </c>
      <c r="E133" s="44">
        <v>34</v>
      </c>
      <c r="F133" s="51" t="s">
        <v>769</v>
      </c>
      <c r="G133" s="1">
        <v>9383</v>
      </c>
      <c r="H133" t="s">
        <v>4</v>
      </c>
      <c r="I133" t="s">
        <v>5</v>
      </c>
      <c r="J133" s="50" t="s">
        <v>813</v>
      </c>
      <c r="K133" t="s">
        <v>11</v>
      </c>
      <c r="L133" s="2">
        <v>39134</v>
      </c>
      <c r="M133" t="s">
        <v>12</v>
      </c>
    </row>
    <row r="134" spans="1:13" x14ac:dyDescent="0.2">
      <c r="A134" s="66"/>
      <c r="B134" s="53">
        <v>17221132</v>
      </c>
      <c r="C134" t="s">
        <v>509</v>
      </c>
      <c r="D134" t="s">
        <v>0</v>
      </c>
      <c r="E134" s="44">
        <v>29</v>
      </c>
      <c r="F134" s="51" t="s">
        <v>769</v>
      </c>
      <c r="G134" s="1">
        <v>9383</v>
      </c>
      <c r="H134" t="s">
        <v>4</v>
      </c>
      <c r="I134" t="s">
        <v>46</v>
      </c>
      <c r="J134" s="50" t="s">
        <v>813</v>
      </c>
      <c r="K134" t="s">
        <v>11</v>
      </c>
      <c r="L134" s="2">
        <v>39134</v>
      </c>
      <c r="M134" t="s">
        <v>12</v>
      </c>
    </row>
    <row r="135" spans="1:13" x14ac:dyDescent="0.2">
      <c r="A135" s="66"/>
      <c r="B135" s="53">
        <v>18569556</v>
      </c>
      <c r="C135" t="s">
        <v>558</v>
      </c>
      <c r="D135" t="s">
        <v>0</v>
      </c>
      <c r="E135" s="44">
        <v>28</v>
      </c>
      <c r="F135" s="51" t="s">
        <v>769</v>
      </c>
      <c r="G135" s="1">
        <v>9025</v>
      </c>
      <c r="H135" t="s">
        <v>4</v>
      </c>
      <c r="I135" t="s">
        <v>5</v>
      </c>
      <c r="J135" s="50" t="s">
        <v>813</v>
      </c>
      <c r="K135" t="s">
        <v>11</v>
      </c>
      <c r="L135" s="2">
        <v>39398</v>
      </c>
      <c r="M135" t="s">
        <v>12</v>
      </c>
    </row>
    <row r="136" spans="1:13" x14ac:dyDescent="0.2">
      <c r="A136" s="66"/>
      <c r="B136" s="53">
        <v>13644541</v>
      </c>
      <c r="C136" t="s">
        <v>342</v>
      </c>
      <c r="D136" t="s">
        <v>0</v>
      </c>
      <c r="E136" s="44">
        <v>36</v>
      </c>
      <c r="F136" s="51" t="s">
        <v>769</v>
      </c>
      <c r="G136" s="1">
        <v>13035</v>
      </c>
      <c r="H136" t="s">
        <v>4</v>
      </c>
      <c r="I136" t="s">
        <v>46</v>
      </c>
      <c r="J136" s="50" t="s">
        <v>813</v>
      </c>
      <c r="K136" t="s">
        <v>11</v>
      </c>
      <c r="L136" s="2">
        <v>39552</v>
      </c>
      <c r="M136" t="s">
        <v>48</v>
      </c>
    </row>
    <row r="137" spans="1:13" x14ac:dyDescent="0.2">
      <c r="A137" s="66"/>
      <c r="B137" s="53">
        <v>13539913</v>
      </c>
      <c r="C137" t="s">
        <v>338</v>
      </c>
      <c r="D137" t="s">
        <v>0</v>
      </c>
      <c r="E137" s="44">
        <v>37</v>
      </c>
      <c r="F137" s="51" t="s">
        <v>769</v>
      </c>
      <c r="G137" s="1">
        <v>9275</v>
      </c>
      <c r="H137" t="s">
        <v>4</v>
      </c>
      <c r="I137" t="s">
        <v>34</v>
      </c>
      <c r="J137" s="50" t="s">
        <v>813</v>
      </c>
      <c r="K137" t="s">
        <v>11</v>
      </c>
      <c r="L137" s="2">
        <v>39569</v>
      </c>
      <c r="M137" t="s">
        <v>12</v>
      </c>
    </row>
    <row r="138" spans="1:13" x14ac:dyDescent="0.2">
      <c r="A138" s="66"/>
      <c r="B138" s="53">
        <v>15193905</v>
      </c>
      <c r="C138" t="s">
        <v>437</v>
      </c>
      <c r="D138" t="s">
        <v>0</v>
      </c>
      <c r="E138" s="44">
        <v>33</v>
      </c>
      <c r="F138" s="51" t="s">
        <v>769</v>
      </c>
      <c r="G138" s="1">
        <v>9275</v>
      </c>
      <c r="H138" t="s">
        <v>4</v>
      </c>
      <c r="I138" t="s">
        <v>34</v>
      </c>
      <c r="J138" s="50" t="s">
        <v>813</v>
      </c>
      <c r="K138" t="s">
        <v>11</v>
      </c>
      <c r="L138" s="2">
        <v>39602</v>
      </c>
      <c r="M138" t="s">
        <v>12</v>
      </c>
    </row>
    <row r="139" spans="1:13" x14ac:dyDescent="0.2">
      <c r="A139" s="66"/>
      <c r="B139" s="53">
        <v>16798734</v>
      </c>
      <c r="C139" t="s">
        <v>498</v>
      </c>
      <c r="D139" t="s">
        <v>0</v>
      </c>
      <c r="E139" s="44">
        <v>32</v>
      </c>
      <c r="F139" s="51" t="s">
        <v>769</v>
      </c>
      <c r="G139" s="1">
        <v>9025</v>
      </c>
      <c r="H139" t="s">
        <v>4</v>
      </c>
      <c r="I139" t="s">
        <v>5</v>
      </c>
      <c r="J139" s="50" t="s">
        <v>813</v>
      </c>
      <c r="K139" t="s">
        <v>11</v>
      </c>
      <c r="L139" s="2">
        <v>40868</v>
      </c>
      <c r="M139" t="s">
        <v>12</v>
      </c>
    </row>
    <row r="140" spans="1:13" x14ac:dyDescent="0.2">
      <c r="A140" s="66"/>
      <c r="B140" s="53">
        <v>18279376</v>
      </c>
      <c r="C140" t="s">
        <v>549</v>
      </c>
      <c r="D140" t="s">
        <v>0</v>
      </c>
      <c r="E140" s="44">
        <v>29</v>
      </c>
      <c r="F140" s="51" t="s">
        <v>769</v>
      </c>
      <c r="G140" s="1">
        <v>9025</v>
      </c>
      <c r="H140" t="s">
        <v>4</v>
      </c>
      <c r="I140" t="s">
        <v>34</v>
      </c>
      <c r="J140" s="50" t="s">
        <v>813</v>
      </c>
      <c r="K140" t="s">
        <v>11</v>
      </c>
      <c r="L140" s="2">
        <v>40868</v>
      </c>
      <c r="M140" t="s">
        <v>12</v>
      </c>
    </row>
    <row r="141" spans="1:13" x14ac:dyDescent="0.2">
      <c r="A141" s="67"/>
      <c r="B141" s="53">
        <v>18575197</v>
      </c>
      <c r="C141" t="s">
        <v>559</v>
      </c>
      <c r="D141" t="s">
        <v>0</v>
      </c>
      <c r="E141" s="44">
        <v>29</v>
      </c>
      <c r="F141" s="51" t="s">
        <v>769</v>
      </c>
      <c r="G141" s="1">
        <v>9025</v>
      </c>
      <c r="H141" t="s">
        <v>4</v>
      </c>
      <c r="I141" t="s">
        <v>46</v>
      </c>
      <c r="J141" s="50" t="s">
        <v>813</v>
      </c>
      <c r="K141" t="s">
        <v>11</v>
      </c>
      <c r="L141" s="2">
        <v>41078</v>
      </c>
      <c r="M141" t="s">
        <v>12</v>
      </c>
    </row>
    <row r="142" spans="1:13" x14ac:dyDescent="0.2">
      <c r="A142" s="66"/>
      <c r="B142" s="53">
        <v>11989353</v>
      </c>
      <c r="C142" t="s">
        <v>260</v>
      </c>
      <c r="D142" t="s">
        <v>0</v>
      </c>
      <c r="E142" s="44">
        <v>41</v>
      </c>
      <c r="F142" s="51" t="s">
        <v>769</v>
      </c>
      <c r="G142" s="1">
        <v>9025</v>
      </c>
      <c r="H142" t="s">
        <v>4</v>
      </c>
      <c r="I142" t="s">
        <v>34</v>
      </c>
      <c r="J142" s="50" t="s">
        <v>813</v>
      </c>
      <c r="K142" t="s">
        <v>11</v>
      </c>
      <c r="L142" s="2">
        <v>41078</v>
      </c>
      <c r="M142" t="s">
        <v>12</v>
      </c>
    </row>
    <row r="143" spans="1:13" x14ac:dyDescent="0.2">
      <c r="A143" s="66"/>
      <c r="B143" s="53">
        <v>17734777</v>
      </c>
      <c r="C143" t="s">
        <v>534</v>
      </c>
      <c r="D143" t="s">
        <v>0</v>
      </c>
      <c r="E143" s="44">
        <v>27</v>
      </c>
      <c r="F143" s="51" t="s">
        <v>769</v>
      </c>
      <c r="G143" s="1">
        <v>9025</v>
      </c>
      <c r="H143" t="s">
        <v>4</v>
      </c>
      <c r="I143" t="s">
        <v>31</v>
      </c>
      <c r="J143" s="50" t="s">
        <v>813</v>
      </c>
      <c r="K143" t="s">
        <v>11</v>
      </c>
      <c r="L143" s="2">
        <v>41092</v>
      </c>
      <c r="M143" t="s">
        <v>12</v>
      </c>
    </row>
    <row r="144" spans="1:13" x14ac:dyDescent="0.2">
      <c r="A144" s="66"/>
      <c r="B144" s="53">
        <v>14756539</v>
      </c>
      <c r="C144" t="s">
        <v>417</v>
      </c>
      <c r="D144" t="s">
        <v>0</v>
      </c>
      <c r="E144" s="44">
        <v>33</v>
      </c>
      <c r="F144" s="51" t="s">
        <v>769</v>
      </c>
      <c r="G144" s="1">
        <v>9025</v>
      </c>
      <c r="H144" t="s">
        <v>4</v>
      </c>
      <c r="I144" t="s">
        <v>31</v>
      </c>
      <c r="J144" s="50" t="s">
        <v>813</v>
      </c>
      <c r="K144" t="s">
        <v>11</v>
      </c>
      <c r="L144" s="2">
        <v>41137</v>
      </c>
      <c r="M144" t="s">
        <v>12</v>
      </c>
    </row>
    <row r="145" spans="1:13" x14ac:dyDescent="0.2">
      <c r="A145" s="66"/>
      <c r="B145" s="53">
        <v>16491432</v>
      </c>
      <c r="C145" t="s">
        <v>486</v>
      </c>
      <c r="D145" t="s">
        <v>0</v>
      </c>
      <c r="E145" s="44">
        <v>31</v>
      </c>
      <c r="F145" s="51" t="s">
        <v>769</v>
      </c>
      <c r="G145" s="1">
        <v>9025</v>
      </c>
      <c r="H145" t="s">
        <v>4</v>
      </c>
      <c r="I145" t="s">
        <v>46</v>
      </c>
      <c r="J145" s="50" t="s">
        <v>813</v>
      </c>
      <c r="K145" t="s">
        <v>11</v>
      </c>
      <c r="L145" s="2">
        <v>41334</v>
      </c>
      <c r="M145" t="s">
        <v>12</v>
      </c>
    </row>
    <row r="146" spans="1:13" x14ac:dyDescent="0.2">
      <c r="A146" s="66"/>
      <c r="B146" s="53">
        <v>19189221</v>
      </c>
      <c r="C146" t="s">
        <v>569</v>
      </c>
      <c r="D146" t="s">
        <v>0</v>
      </c>
      <c r="E146" s="44">
        <v>28</v>
      </c>
      <c r="F146" s="51" t="s">
        <v>769</v>
      </c>
      <c r="G146" s="1">
        <v>9025</v>
      </c>
      <c r="H146" t="s">
        <v>4</v>
      </c>
      <c r="I146" t="s">
        <v>31</v>
      </c>
      <c r="J146" s="50" t="s">
        <v>813</v>
      </c>
      <c r="K146" t="s">
        <v>11</v>
      </c>
      <c r="L146" s="2">
        <v>41334</v>
      </c>
      <c r="M146" t="s">
        <v>12</v>
      </c>
    </row>
    <row r="147" spans="1:13" x14ac:dyDescent="0.2">
      <c r="A147" s="66"/>
      <c r="B147" s="53">
        <v>20875738</v>
      </c>
      <c r="C147" t="s">
        <v>586</v>
      </c>
      <c r="D147" t="s">
        <v>0</v>
      </c>
      <c r="E147" s="44">
        <v>23</v>
      </c>
      <c r="F147" s="51" t="s">
        <v>769</v>
      </c>
      <c r="G147" s="1">
        <v>9025</v>
      </c>
      <c r="H147" t="s">
        <v>4</v>
      </c>
      <c r="I147" t="s">
        <v>34</v>
      </c>
      <c r="J147" s="50" t="s">
        <v>813</v>
      </c>
      <c r="K147" t="s">
        <v>11</v>
      </c>
      <c r="L147" s="2">
        <v>41334</v>
      </c>
      <c r="M147" t="s">
        <v>12</v>
      </c>
    </row>
    <row r="148" spans="1:13" x14ac:dyDescent="0.2">
      <c r="A148" s="66"/>
      <c r="B148" s="53">
        <v>14828359</v>
      </c>
      <c r="C148" t="s">
        <v>427</v>
      </c>
      <c r="D148" t="s">
        <v>0</v>
      </c>
      <c r="E148" s="44">
        <v>36</v>
      </c>
      <c r="F148" s="51" t="s">
        <v>769</v>
      </c>
      <c r="G148" s="1">
        <v>9025</v>
      </c>
      <c r="H148" t="s">
        <v>4</v>
      </c>
      <c r="I148" t="s">
        <v>46</v>
      </c>
      <c r="J148" s="50" t="s">
        <v>813</v>
      </c>
      <c r="K148" t="s">
        <v>11</v>
      </c>
      <c r="L148" s="2">
        <v>41334</v>
      </c>
      <c r="M148" t="s">
        <v>12</v>
      </c>
    </row>
    <row r="149" spans="1:13" x14ac:dyDescent="0.2">
      <c r="A149" s="66"/>
      <c r="B149" s="53">
        <v>14869221</v>
      </c>
      <c r="C149" t="s">
        <v>428</v>
      </c>
      <c r="D149" t="s">
        <v>0</v>
      </c>
      <c r="E149" s="44">
        <v>34</v>
      </c>
      <c r="F149" s="51" t="s">
        <v>769</v>
      </c>
      <c r="G149" s="1">
        <v>9025</v>
      </c>
      <c r="H149" t="s">
        <v>4</v>
      </c>
      <c r="I149" t="s">
        <v>31</v>
      </c>
      <c r="J149" s="50" t="s">
        <v>813</v>
      </c>
      <c r="K149" t="s">
        <v>11</v>
      </c>
      <c r="L149" s="2">
        <v>41673</v>
      </c>
      <c r="M149" t="s">
        <v>12</v>
      </c>
    </row>
    <row r="150" spans="1:13" x14ac:dyDescent="0.2">
      <c r="A150" s="66"/>
      <c r="B150" s="53">
        <v>18300478</v>
      </c>
      <c r="C150" t="s">
        <v>550</v>
      </c>
      <c r="D150" t="s">
        <v>0</v>
      </c>
      <c r="E150" s="44">
        <v>29</v>
      </c>
      <c r="F150" s="51" t="s">
        <v>769</v>
      </c>
      <c r="G150" s="1">
        <v>9025</v>
      </c>
      <c r="H150" t="s">
        <v>4</v>
      </c>
      <c r="I150" t="s">
        <v>34</v>
      </c>
      <c r="J150" s="50" t="s">
        <v>813</v>
      </c>
      <c r="K150" t="s">
        <v>11</v>
      </c>
      <c r="L150" s="2">
        <v>41673</v>
      </c>
      <c r="M150" t="s">
        <v>12</v>
      </c>
    </row>
    <row r="151" spans="1:13" x14ac:dyDescent="0.2">
      <c r="A151" s="66"/>
      <c r="B151" s="53">
        <v>18463377</v>
      </c>
      <c r="C151" t="s">
        <v>696</v>
      </c>
      <c r="D151" t="s">
        <v>0</v>
      </c>
      <c r="E151" s="44">
        <v>29</v>
      </c>
      <c r="F151" s="51" t="s">
        <v>769</v>
      </c>
      <c r="G151" s="1">
        <v>9025</v>
      </c>
      <c r="H151" t="s">
        <v>4</v>
      </c>
      <c r="I151" t="s">
        <v>34</v>
      </c>
      <c r="J151" s="50" t="s">
        <v>813</v>
      </c>
      <c r="K151" t="s">
        <v>11</v>
      </c>
      <c r="L151" s="2">
        <v>41852</v>
      </c>
      <c r="M151" t="s">
        <v>12</v>
      </c>
    </row>
    <row r="152" spans="1:13" x14ac:dyDescent="0.2">
      <c r="A152" s="66"/>
      <c r="B152" s="53">
        <v>14448319</v>
      </c>
      <c r="C152" t="s">
        <v>760</v>
      </c>
      <c r="D152" t="s">
        <v>0</v>
      </c>
      <c r="E152" s="44">
        <v>37</v>
      </c>
      <c r="F152" s="51" t="s">
        <v>768</v>
      </c>
      <c r="G152" s="1">
        <v>8535</v>
      </c>
      <c r="H152" t="s">
        <v>4</v>
      </c>
      <c r="I152" t="s">
        <v>46</v>
      </c>
      <c r="J152" s="50" t="s">
        <v>813</v>
      </c>
      <c r="K152" t="s">
        <v>11</v>
      </c>
      <c r="L152" s="2">
        <v>42079</v>
      </c>
      <c r="M152" t="s">
        <v>12</v>
      </c>
    </row>
    <row r="153" spans="1:13" x14ac:dyDescent="0.2">
      <c r="A153" s="66"/>
      <c r="B153" s="53">
        <v>17214338</v>
      </c>
      <c r="C153" t="s">
        <v>773</v>
      </c>
      <c r="D153" t="s">
        <v>0</v>
      </c>
      <c r="E153" s="44">
        <v>31</v>
      </c>
      <c r="F153" s="51" t="s">
        <v>768</v>
      </c>
      <c r="G153" s="1">
        <v>8535</v>
      </c>
      <c r="H153" t="s">
        <v>4</v>
      </c>
      <c r="I153" t="s">
        <v>46</v>
      </c>
      <c r="J153" s="50" t="s">
        <v>813</v>
      </c>
      <c r="K153" t="s">
        <v>11</v>
      </c>
      <c r="L153" s="2">
        <v>42100</v>
      </c>
      <c r="M153" t="s">
        <v>12</v>
      </c>
    </row>
    <row r="154" spans="1:13" x14ac:dyDescent="0.2">
      <c r="A154" s="66"/>
      <c r="B154" s="53">
        <v>20796021</v>
      </c>
      <c r="C154" t="s">
        <v>791</v>
      </c>
      <c r="D154" t="s">
        <v>0</v>
      </c>
      <c r="E154" s="44">
        <v>23</v>
      </c>
      <c r="F154" s="51" t="s">
        <v>768</v>
      </c>
      <c r="G154" s="1">
        <v>8535</v>
      </c>
      <c r="H154" t="s">
        <v>4</v>
      </c>
      <c r="I154" t="s">
        <v>46</v>
      </c>
      <c r="J154" s="50" t="s">
        <v>813</v>
      </c>
      <c r="K154" t="s">
        <v>11</v>
      </c>
      <c r="L154" s="2">
        <v>42128</v>
      </c>
      <c r="M154" t="s">
        <v>12</v>
      </c>
    </row>
    <row r="155" spans="1:13" x14ac:dyDescent="0.2">
      <c r="A155" s="66"/>
      <c r="B155" s="53">
        <v>18278089</v>
      </c>
      <c r="C155" t="s">
        <v>792</v>
      </c>
      <c r="D155" t="s">
        <v>0</v>
      </c>
      <c r="E155" s="44">
        <v>27</v>
      </c>
      <c r="F155" s="51" t="s">
        <v>768</v>
      </c>
      <c r="G155" s="1">
        <v>8535</v>
      </c>
      <c r="H155" t="s">
        <v>4</v>
      </c>
      <c r="I155" t="s">
        <v>46</v>
      </c>
      <c r="J155" s="50" t="s">
        <v>813</v>
      </c>
      <c r="K155" t="s">
        <v>11</v>
      </c>
      <c r="L155" s="2">
        <v>42128</v>
      </c>
      <c r="M155" t="s">
        <v>12</v>
      </c>
    </row>
    <row r="156" spans="1:13" x14ac:dyDescent="0.2">
      <c r="A156" s="66"/>
      <c r="B156" s="53">
        <v>18773299</v>
      </c>
      <c r="C156" t="s">
        <v>793</v>
      </c>
      <c r="D156" t="s">
        <v>0</v>
      </c>
      <c r="E156" s="44">
        <v>26</v>
      </c>
      <c r="F156" s="51" t="s">
        <v>768</v>
      </c>
      <c r="G156" s="1">
        <v>8535</v>
      </c>
      <c r="H156" t="s">
        <v>4</v>
      </c>
      <c r="I156" t="s">
        <v>5</v>
      </c>
      <c r="J156" s="50" t="s">
        <v>813</v>
      </c>
      <c r="K156" t="s">
        <v>11</v>
      </c>
      <c r="L156" s="2">
        <v>42128</v>
      </c>
      <c r="M156" t="s">
        <v>12</v>
      </c>
    </row>
    <row r="157" spans="1:13" x14ac:dyDescent="0.2">
      <c r="A157" s="66"/>
      <c r="B157" s="53">
        <v>19258387</v>
      </c>
      <c r="C157" t="s">
        <v>794</v>
      </c>
      <c r="D157" t="s">
        <v>0</v>
      </c>
      <c r="E157" s="44">
        <v>25</v>
      </c>
      <c r="F157" s="51" t="s">
        <v>768</v>
      </c>
      <c r="G157" s="1">
        <v>8535</v>
      </c>
      <c r="H157" t="s">
        <v>4</v>
      </c>
      <c r="I157" t="s">
        <v>34</v>
      </c>
      <c r="J157" s="50" t="s">
        <v>813</v>
      </c>
      <c r="K157" t="s">
        <v>11</v>
      </c>
      <c r="L157" s="2">
        <v>42128</v>
      </c>
      <c r="M157" t="s">
        <v>12</v>
      </c>
    </row>
    <row r="158" spans="1:13" x14ac:dyDescent="0.2">
      <c r="A158" s="66"/>
      <c r="B158" s="53">
        <v>21689287</v>
      </c>
      <c r="C158" t="s">
        <v>795</v>
      </c>
      <c r="D158" t="s">
        <v>0</v>
      </c>
      <c r="E158" s="44">
        <v>23</v>
      </c>
      <c r="F158" s="51" t="s">
        <v>768</v>
      </c>
      <c r="G158" s="1">
        <v>8535</v>
      </c>
      <c r="H158" t="s">
        <v>4</v>
      </c>
      <c r="I158" t="s">
        <v>5</v>
      </c>
      <c r="J158" s="50" t="s">
        <v>813</v>
      </c>
      <c r="K158" t="s">
        <v>11</v>
      </c>
      <c r="L158" s="2">
        <v>42128</v>
      </c>
      <c r="M158" t="s">
        <v>12</v>
      </c>
    </row>
    <row r="159" spans="1:13" x14ac:dyDescent="0.2">
      <c r="A159" s="66"/>
      <c r="B159" s="53">
        <v>23998382</v>
      </c>
      <c r="C159" t="s">
        <v>796</v>
      </c>
      <c r="D159" t="s">
        <v>0</v>
      </c>
      <c r="E159" s="44">
        <v>21</v>
      </c>
      <c r="F159" s="51" t="s">
        <v>768</v>
      </c>
      <c r="G159" s="1">
        <v>8535</v>
      </c>
      <c r="H159" t="s">
        <v>4</v>
      </c>
      <c r="I159" t="s">
        <v>5</v>
      </c>
      <c r="J159" s="50" t="s">
        <v>813</v>
      </c>
      <c r="K159" t="s">
        <v>11</v>
      </c>
      <c r="L159" s="2">
        <v>42128</v>
      </c>
      <c r="M159" t="s">
        <v>12</v>
      </c>
    </row>
    <row r="160" spans="1:13" x14ac:dyDescent="0.2">
      <c r="A160" s="66"/>
      <c r="B160" s="53">
        <v>3895832</v>
      </c>
      <c r="C160" t="s">
        <v>25</v>
      </c>
      <c r="D160" t="s">
        <v>0</v>
      </c>
      <c r="E160" s="44">
        <v>60</v>
      </c>
      <c r="F160" s="51" t="s">
        <v>769</v>
      </c>
      <c r="G160" s="1">
        <v>27080</v>
      </c>
      <c r="H160" t="s">
        <v>1</v>
      </c>
      <c r="I160" t="s">
        <v>10</v>
      </c>
      <c r="J160" s="50" t="s">
        <v>813</v>
      </c>
      <c r="K160" t="s">
        <v>18</v>
      </c>
      <c r="L160" s="2">
        <v>36332</v>
      </c>
      <c r="M160" t="s">
        <v>15</v>
      </c>
    </row>
    <row r="161" spans="1:13" x14ac:dyDescent="0.2">
      <c r="A161" s="66"/>
      <c r="B161" s="53">
        <v>8596242</v>
      </c>
      <c r="C161" t="s">
        <v>165</v>
      </c>
      <c r="D161" t="s">
        <v>0</v>
      </c>
      <c r="E161" s="44">
        <v>50</v>
      </c>
      <c r="F161" s="51" t="s">
        <v>769</v>
      </c>
      <c r="G161" s="1">
        <v>25995</v>
      </c>
      <c r="H161" t="s">
        <v>1</v>
      </c>
      <c r="I161" t="s">
        <v>27</v>
      </c>
      <c r="J161" s="50" t="s">
        <v>813</v>
      </c>
      <c r="K161" t="s">
        <v>18</v>
      </c>
      <c r="L161" s="2">
        <v>36339</v>
      </c>
      <c r="M161" t="s">
        <v>15</v>
      </c>
    </row>
    <row r="162" spans="1:13" x14ac:dyDescent="0.2">
      <c r="A162" s="66"/>
      <c r="B162" s="53">
        <v>7775457</v>
      </c>
      <c r="C162" t="s">
        <v>94</v>
      </c>
      <c r="D162" t="s">
        <v>0</v>
      </c>
      <c r="E162" s="44">
        <v>53</v>
      </c>
      <c r="F162" s="51" t="s">
        <v>769</v>
      </c>
      <c r="G162" s="1">
        <v>10054</v>
      </c>
      <c r="H162" t="s">
        <v>4</v>
      </c>
      <c r="I162" t="s">
        <v>46</v>
      </c>
      <c r="J162" s="50" t="s">
        <v>813</v>
      </c>
      <c r="K162" t="s">
        <v>18</v>
      </c>
      <c r="L162" s="2">
        <v>36374</v>
      </c>
      <c r="M162" t="s">
        <v>12</v>
      </c>
    </row>
    <row r="163" spans="1:13" x14ac:dyDescent="0.2">
      <c r="A163" s="66"/>
      <c r="B163" s="53">
        <v>9710822</v>
      </c>
      <c r="C163" t="s">
        <v>182</v>
      </c>
      <c r="D163" t="s">
        <v>0</v>
      </c>
      <c r="E163" s="44">
        <v>47</v>
      </c>
      <c r="F163" s="51" t="s">
        <v>769</v>
      </c>
      <c r="G163" s="1">
        <v>10020</v>
      </c>
      <c r="H163" t="s">
        <v>4</v>
      </c>
      <c r="I163" t="s">
        <v>34</v>
      </c>
      <c r="J163" s="50" t="s">
        <v>813</v>
      </c>
      <c r="K163" t="s">
        <v>18</v>
      </c>
      <c r="L163" s="2">
        <v>36374</v>
      </c>
      <c r="M163" t="s">
        <v>12</v>
      </c>
    </row>
    <row r="164" spans="1:13" x14ac:dyDescent="0.2">
      <c r="A164" s="66"/>
      <c r="B164" s="53">
        <v>10296059</v>
      </c>
      <c r="C164" t="s">
        <v>204</v>
      </c>
      <c r="D164" t="s">
        <v>0</v>
      </c>
      <c r="E164" s="44">
        <v>44</v>
      </c>
      <c r="F164" s="51" t="s">
        <v>769</v>
      </c>
      <c r="G164" s="1">
        <v>24675</v>
      </c>
      <c r="H164" t="s">
        <v>1</v>
      </c>
      <c r="I164" t="s">
        <v>8</v>
      </c>
      <c r="J164" s="50" t="s">
        <v>813</v>
      </c>
      <c r="K164" t="s">
        <v>18</v>
      </c>
      <c r="L164" s="2">
        <v>36465</v>
      </c>
      <c r="M164" t="s">
        <v>15</v>
      </c>
    </row>
    <row r="165" spans="1:13" x14ac:dyDescent="0.2">
      <c r="A165" s="66"/>
      <c r="B165" s="53">
        <v>10298943</v>
      </c>
      <c r="C165" t="s">
        <v>205</v>
      </c>
      <c r="D165" t="s">
        <v>0</v>
      </c>
      <c r="E165" s="44">
        <v>45</v>
      </c>
      <c r="F165" s="51" t="s">
        <v>769</v>
      </c>
      <c r="G165" s="1">
        <v>24675</v>
      </c>
      <c r="H165" t="s">
        <v>1</v>
      </c>
      <c r="I165" t="s">
        <v>8</v>
      </c>
      <c r="J165" s="50" t="s">
        <v>813</v>
      </c>
      <c r="K165" t="s">
        <v>18</v>
      </c>
      <c r="L165" s="2">
        <v>36465</v>
      </c>
      <c r="M165" t="s">
        <v>15</v>
      </c>
    </row>
    <row r="166" spans="1:13" x14ac:dyDescent="0.2">
      <c r="A166" s="66"/>
      <c r="B166" s="53">
        <v>11905894</v>
      </c>
      <c r="C166" t="s">
        <v>252</v>
      </c>
      <c r="D166" t="s">
        <v>0</v>
      </c>
      <c r="E166" s="44">
        <v>40</v>
      </c>
      <c r="F166" s="51" t="s">
        <v>769</v>
      </c>
      <c r="G166" s="1">
        <v>42975</v>
      </c>
      <c r="H166" t="s">
        <v>1</v>
      </c>
      <c r="I166" t="s">
        <v>2</v>
      </c>
      <c r="J166" s="50" t="s">
        <v>813</v>
      </c>
      <c r="K166" t="s">
        <v>18</v>
      </c>
      <c r="L166" s="2">
        <v>36465</v>
      </c>
      <c r="M166" t="s">
        <v>253</v>
      </c>
    </row>
    <row r="167" spans="1:13" x14ac:dyDescent="0.2">
      <c r="A167" s="66"/>
      <c r="B167" s="53">
        <v>12536505</v>
      </c>
      <c r="C167" t="s">
        <v>291</v>
      </c>
      <c r="D167" t="s">
        <v>0</v>
      </c>
      <c r="E167" s="44">
        <v>40</v>
      </c>
      <c r="F167" s="51" t="s">
        <v>769</v>
      </c>
      <c r="G167" s="1">
        <v>21640</v>
      </c>
      <c r="H167" t="s">
        <v>1</v>
      </c>
      <c r="I167" t="s">
        <v>3</v>
      </c>
      <c r="J167" s="50" t="s">
        <v>813</v>
      </c>
      <c r="K167" t="s">
        <v>18</v>
      </c>
      <c r="L167" s="2">
        <v>36465</v>
      </c>
      <c r="M167" t="s">
        <v>15</v>
      </c>
    </row>
    <row r="168" spans="1:13" x14ac:dyDescent="0.2">
      <c r="A168" s="66"/>
      <c r="B168" s="53">
        <v>12657116</v>
      </c>
      <c r="C168" t="s">
        <v>305</v>
      </c>
      <c r="D168" t="s">
        <v>0</v>
      </c>
      <c r="E168" s="44">
        <v>40</v>
      </c>
      <c r="F168" s="51" t="s">
        <v>769</v>
      </c>
      <c r="G168" s="1">
        <v>27425</v>
      </c>
      <c r="H168" t="s">
        <v>1</v>
      </c>
      <c r="I168" t="s">
        <v>10</v>
      </c>
      <c r="J168" s="50" t="s">
        <v>813</v>
      </c>
      <c r="K168" t="s">
        <v>18</v>
      </c>
      <c r="L168" s="2">
        <v>36465</v>
      </c>
      <c r="M168" t="s">
        <v>15</v>
      </c>
    </row>
    <row r="169" spans="1:13" x14ac:dyDescent="0.2">
      <c r="A169" s="66"/>
      <c r="B169" s="53">
        <v>12659586</v>
      </c>
      <c r="C169" t="s">
        <v>307</v>
      </c>
      <c r="D169" t="s">
        <v>0</v>
      </c>
      <c r="E169" s="44">
        <v>39</v>
      </c>
      <c r="F169" s="51" t="s">
        <v>769</v>
      </c>
      <c r="G169" s="1">
        <v>25440</v>
      </c>
      <c r="H169" t="s">
        <v>1</v>
      </c>
      <c r="I169" t="s">
        <v>3</v>
      </c>
      <c r="J169" s="50" t="s">
        <v>813</v>
      </c>
      <c r="K169" t="s">
        <v>18</v>
      </c>
      <c r="L169" s="2">
        <v>36465</v>
      </c>
      <c r="M169" t="s">
        <v>15</v>
      </c>
    </row>
    <row r="170" spans="1:13" x14ac:dyDescent="0.2">
      <c r="A170" s="66"/>
      <c r="B170" s="53">
        <v>6671093</v>
      </c>
      <c r="C170" t="s">
        <v>70</v>
      </c>
      <c r="D170" t="s">
        <v>0</v>
      </c>
      <c r="E170" s="44">
        <v>42</v>
      </c>
      <c r="F170" s="51" t="s">
        <v>769</v>
      </c>
      <c r="G170" s="1">
        <v>10000</v>
      </c>
      <c r="H170" t="s">
        <v>4</v>
      </c>
      <c r="I170" t="s">
        <v>5</v>
      </c>
      <c r="J170" s="50" t="s">
        <v>813</v>
      </c>
      <c r="K170" t="s">
        <v>18</v>
      </c>
      <c r="L170" s="2">
        <v>36465</v>
      </c>
      <c r="M170" t="s">
        <v>12</v>
      </c>
    </row>
    <row r="171" spans="1:13" x14ac:dyDescent="0.2">
      <c r="A171" s="66"/>
      <c r="B171" s="53">
        <v>6766733</v>
      </c>
      <c r="C171" t="s">
        <v>71</v>
      </c>
      <c r="D171" t="s">
        <v>0</v>
      </c>
      <c r="E171" s="44">
        <v>43</v>
      </c>
      <c r="F171" s="51" t="s">
        <v>769</v>
      </c>
      <c r="G171" s="1">
        <v>13295</v>
      </c>
      <c r="H171" t="s">
        <v>4</v>
      </c>
      <c r="I171" t="s">
        <v>46</v>
      </c>
      <c r="J171" s="50" t="s">
        <v>813</v>
      </c>
      <c r="K171" t="s">
        <v>18</v>
      </c>
      <c r="L171" s="2">
        <v>36465</v>
      </c>
      <c r="M171" t="s">
        <v>48</v>
      </c>
    </row>
    <row r="172" spans="1:13" x14ac:dyDescent="0.2">
      <c r="A172" s="66"/>
      <c r="B172" s="53">
        <v>8270476</v>
      </c>
      <c r="C172" t="s">
        <v>125</v>
      </c>
      <c r="D172" t="s">
        <v>0</v>
      </c>
      <c r="E172" s="44">
        <v>43</v>
      </c>
      <c r="F172" s="51" t="s">
        <v>769</v>
      </c>
      <c r="G172" s="1">
        <v>13095</v>
      </c>
      <c r="H172" t="s">
        <v>4</v>
      </c>
      <c r="I172" t="s">
        <v>34</v>
      </c>
      <c r="J172" s="50" t="s">
        <v>813</v>
      </c>
      <c r="K172" t="s">
        <v>18</v>
      </c>
      <c r="L172" s="2">
        <v>36465</v>
      </c>
      <c r="M172" t="s">
        <v>48</v>
      </c>
    </row>
    <row r="173" spans="1:13" x14ac:dyDescent="0.2">
      <c r="A173" s="66"/>
      <c r="B173" s="53">
        <v>10939561</v>
      </c>
      <c r="C173" t="s">
        <v>212</v>
      </c>
      <c r="D173" t="s">
        <v>0</v>
      </c>
      <c r="E173" s="44">
        <v>44</v>
      </c>
      <c r="F173" s="51" t="s">
        <v>769</v>
      </c>
      <c r="G173" s="1">
        <v>9998</v>
      </c>
      <c r="H173" t="s">
        <v>4</v>
      </c>
      <c r="I173" t="s">
        <v>31</v>
      </c>
      <c r="J173" s="50" t="s">
        <v>813</v>
      </c>
      <c r="K173" t="s">
        <v>18</v>
      </c>
      <c r="L173" s="2">
        <v>36465</v>
      </c>
      <c r="M173" t="s">
        <v>12</v>
      </c>
    </row>
    <row r="174" spans="1:13" x14ac:dyDescent="0.2">
      <c r="A174" s="66"/>
      <c r="B174" s="53">
        <v>11749716</v>
      </c>
      <c r="C174" t="s">
        <v>241</v>
      </c>
      <c r="D174" t="s">
        <v>0</v>
      </c>
      <c r="E174" s="44">
        <v>42</v>
      </c>
      <c r="F174" s="51" t="s">
        <v>769</v>
      </c>
      <c r="G174" s="1">
        <v>13095</v>
      </c>
      <c r="H174" t="s">
        <v>4</v>
      </c>
      <c r="I174" t="s">
        <v>34</v>
      </c>
      <c r="J174" s="50" t="s">
        <v>813</v>
      </c>
      <c r="K174" t="s">
        <v>18</v>
      </c>
      <c r="L174" s="2">
        <v>36465</v>
      </c>
      <c r="M174" t="s">
        <v>48</v>
      </c>
    </row>
    <row r="175" spans="1:13" x14ac:dyDescent="0.2">
      <c r="A175" s="66"/>
      <c r="B175" s="53">
        <v>12197832</v>
      </c>
      <c r="C175" t="s">
        <v>262</v>
      </c>
      <c r="D175" t="s">
        <v>0</v>
      </c>
      <c r="E175" s="44">
        <v>40</v>
      </c>
      <c r="F175" s="51" t="s">
        <v>769</v>
      </c>
      <c r="G175" s="1">
        <v>13130</v>
      </c>
      <c r="H175" t="s">
        <v>4</v>
      </c>
      <c r="I175" t="s">
        <v>31</v>
      </c>
      <c r="J175" s="50" t="s">
        <v>813</v>
      </c>
      <c r="K175" t="s">
        <v>18</v>
      </c>
      <c r="L175" s="2">
        <v>36465</v>
      </c>
      <c r="M175" t="s">
        <v>48</v>
      </c>
    </row>
    <row r="176" spans="1:13" x14ac:dyDescent="0.2">
      <c r="A176" s="66"/>
      <c r="B176" s="53">
        <v>12275353</v>
      </c>
      <c r="C176" t="s">
        <v>274</v>
      </c>
      <c r="D176" t="s">
        <v>0</v>
      </c>
      <c r="E176" s="44">
        <v>40</v>
      </c>
      <c r="F176" s="51" t="s">
        <v>769</v>
      </c>
      <c r="G176" s="1">
        <v>13455</v>
      </c>
      <c r="H176" t="s">
        <v>4</v>
      </c>
      <c r="I176" t="s">
        <v>46</v>
      </c>
      <c r="J176" s="50" t="s">
        <v>813</v>
      </c>
      <c r="K176" t="s">
        <v>18</v>
      </c>
      <c r="L176" s="2">
        <v>36465</v>
      </c>
      <c r="M176" t="s">
        <v>48</v>
      </c>
    </row>
    <row r="177" spans="1:13" x14ac:dyDescent="0.2">
      <c r="A177" s="66"/>
      <c r="B177" s="53">
        <v>12658737</v>
      </c>
      <c r="C177" t="s">
        <v>306</v>
      </c>
      <c r="D177" t="s">
        <v>0</v>
      </c>
      <c r="E177" s="44">
        <v>40</v>
      </c>
      <c r="F177" s="51" t="s">
        <v>769</v>
      </c>
      <c r="G177" s="1">
        <v>13150</v>
      </c>
      <c r="H177" t="s">
        <v>4</v>
      </c>
      <c r="I177" t="s">
        <v>5</v>
      </c>
      <c r="J177" s="50" t="s">
        <v>813</v>
      </c>
      <c r="K177" t="s">
        <v>18</v>
      </c>
      <c r="L177" s="2">
        <v>36465</v>
      </c>
      <c r="M177" t="s">
        <v>48</v>
      </c>
    </row>
    <row r="178" spans="1:13" x14ac:dyDescent="0.2">
      <c r="A178" s="66"/>
      <c r="B178" s="53">
        <v>12660487</v>
      </c>
      <c r="C178" t="s">
        <v>308</v>
      </c>
      <c r="D178" t="s">
        <v>0</v>
      </c>
      <c r="E178" s="44">
        <v>40</v>
      </c>
      <c r="F178" s="51" t="s">
        <v>769</v>
      </c>
      <c r="G178" s="1">
        <v>9907</v>
      </c>
      <c r="H178" t="s">
        <v>4</v>
      </c>
      <c r="I178" t="s">
        <v>34</v>
      </c>
      <c r="J178" s="50" t="s">
        <v>813</v>
      </c>
      <c r="K178" t="s">
        <v>18</v>
      </c>
      <c r="L178" s="2">
        <v>36465</v>
      </c>
      <c r="M178" t="s">
        <v>12</v>
      </c>
    </row>
    <row r="179" spans="1:13" x14ac:dyDescent="0.2">
      <c r="A179" s="66"/>
      <c r="B179" s="53">
        <v>12875540</v>
      </c>
      <c r="C179" t="s">
        <v>316</v>
      </c>
      <c r="D179" t="s">
        <v>0</v>
      </c>
      <c r="E179" s="44">
        <v>38</v>
      </c>
      <c r="F179" s="51" t="s">
        <v>769</v>
      </c>
      <c r="G179" s="1">
        <v>13035</v>
      </c>
      <c r="H179" t="s">
        <v>4</v>
      </c>
      <c r="I179" t="s">
        <v>31</v>
      </c>
      <c r="J179" s="50" t="s">
        <v>813</v>
      </c>
      <c r="K179" t="s">
        <v>18</v>
      </c>
      <c r="L179" s="2">
        <v>36465</v>
      </c>
      <c r="M179" t="s">
        <v>48</v>
      </c>
    </row>
    <row r="180" spans="1:13" x14ac:dyDescent="0.2">
      <c r="A180" s="66"/>
      <c r="B180" s="53">
        <v>13657466</v>
      </c>
      <c r="C180" t="s">
        <v>344</v>
      </c>
      <c r="D180" t="s">
        <v>0</v>
      </c>
      <c r="E180" s="44">
        <v>37</v>
      </c>
      <c r="F180" s="51" t="s">
        <v>769</v>
      </c>
      <c r="G180" s="1">
        <v>13095</v>
      </c>
      <c r="H180" t="s">
        <v>4</v>
      </c>
      <c r="I180" t="s">
        <v>31</v>
      </c>
      <c r="J180" s="50" t="s">
        <v>813</v>
      </c>
      <c r="K180" t="s">
        <v>18</v>
      </c>
      <c r="L180" s="2">
        <v>36465</v>
      </c>
      <c r="M180" t="s">
        <v>48</v>
      </c>
    </row>
    <row r="181" spans="1:13" x14ac:dyDescent="0.2">
      <c r="A181" s="66"/>
      <c r="B181" s="53">
        <v>14189963</v>
      </c>
      <c r="C181" t="s">
        <v>381</v>
      </c>
      <c r="D181" t="s">
        <v>0</v>
      </c>
      <c r="E181" s="44">
        <v>37</v>
      </c>
      <c r="F181" s="51" t="s">
        <v>769</v>
      </c>
      <c r="G181" s="1">
        <v>13170</v>
      </c>
      <c r="H181" t="s">
        <v>4</v>
      </c>
      <c r="I181" t="s">
        <v>46</v>
      </c>
      <c r="J181" s="50" t="s">
        <v>813</v>
      </c>
      <c r="K181" t="s">
        <v>18</v>
      </c>
      <c r="L181" s="2">
        <v>36465</v>
      </c>
      <c r="M181" t="s">
        <v>48</v>
      </c>
    </row>
    <row r="182" spans="1:13" x14ac:dyDescent="0.2">
      <c r="A182" s="66"/>
      <c r="B182" s="53">
        <v>6663742</v>
      </c>
      <c r="C182" t="s">
        <v>69</v>
      </c>
      <c r="D182" t="s">
        <v>0</v>
      </c>
      <c r="E182" s="44">
        <v>44</v>
      </c>
      <c r="F182" s="51" t="s">
        <v>769</v>
      </c>
      <c r="G182" s="1">
        <v>13155</v>
      </c>
      <c r="H182" t="s">
        <v>4</v>
      </c>
      <c r="I182" t="s">
        <v>34</v>
      </c>
      <c r="J182" s="50" t="s">
        <v>813</v>
      </c>
      <c r="K182" t="s">
        <v>18</v>
      </c>
      <c r="L182" s="2">
        <v>36612</v>
      </c>
      <c r="M182" t="s">
        <v>48</v>
      </c>
    </row>
    <row r="183" spans="1:13" x14ac:dyDescent="0.2">
      <c r="A183" s="66"/>
      <c r="B183" s="53">
        <v>11509204</v>
      </c>
      <c r="C183" t="s">
        <v>235</v>
      </c>
      <c r="D183" t="s">
        <v>0</v>
      </c>
      <c r="E183" s="44">
        <v>40</v>
      </c>
      <c r="F183" s="51" t="s">
        <v>769</v>
      </c>
      <c r="G183" s="1">
        <v>10048</v>
      </c>
      <c r="H183" t="s">
        <v>4</v>
      </c>
      <c r="I183" t="s">
        <v>31</v>
      </c>
      <c r="J183" s="50" t="s">
        <v>813</v>
      </c>
      <c r="K183" t="s">
        <v>18</v>
      </c>
      <c r="L183" s="2">
        <v>36752</v>
      </c>
      <c r="M183" t="s">
        <v>12</v>
      </c>
    </row>
    <row r="184" spans="1:13" x14ac:dyDescent="0.2">
      <c r="A184" s="66"/>
      <c r="B184" s="53">
        <v>8272660</v>
      </c>
      <c r="C184" t="s">
        <v>130</v>
      </c>
      <c r="D184" t="s">
        <v>0</v>
      </c>
      <c r="E184" s="44">
        <v>44</v>
      </c>
      <c r="F184" s="51" t="s">
        <v>769</v>
      </c>
      <c r="G184" s="1">
        <v>31590</v>
      </c>
      <c r="H184" t="s">
        <v>1</v>
      </c>
      <c r="I184" t="s">
        <v>2</v>
      </c>
      <c r="J184" s="50" t="s">
        <v>813</v>
      </c>
      <c r="K184" t="s">
        <v>18</v>
      </c>
      <c r="L184" s="2">
        <v>36773</v>
      </c>
      <c r="M184" t="s">
        <v>23</v>
      </c>
    </row>
    <row r="185" spans="1:13" x14ac:dyDescent="0.2">
      <c r="A185" s="66"/>
      <c r="B185" s="53">
        <v>14475878</v>
      </c>
      <c r="C185" t="s">
        <v>401</v>
      </c>
      <c r="D185" t="s">
        <v>0</v>
      </c>
      <c r="E185" s="44">
        <v>36</v>
      </c>
      <c r="F185" s="51" t="s">
        <v>769</v>
      </c>
      <c r="G185" s="1">
        <v>13095</v>
      </c>
      <c r="H185" t="s">
        <v>4</v>
      </c>
      <c r="I185" t="s">
        <v>34</v>
      </c>
      <c r="J185" s="50" t="s">
        <v>813</v>
      </c>
      <c r="K185" t="s">
        <v>18</v>
      </c>
      <c r="L185" s="2">
        <v>36773</v>
      </c>
      <c r="M185" t="s">
        <v>48</v>
      </c>
    </row>
    <row r="186" spans="1:13" x14ac:dyDescent="0.2">
      <c r="A186" s="66"/>
      <c r="B186" s="53">
        <v>11418609</v>
      </c>
      <c r="C186" t="s">
        <v>229</v>
      </c>
      <c r="D186" t="s">
        <v>0</v>
      </c>
      <c r="E186" s="44">
        <v>44</v>
      </c>
      <c r="F186" s="51" t="s">
        <v>769</v>
      </c>
      <c r="G186" s="1">
        <v>9701</v>
      </c>
      <c r="H186" t="s">
        <v>4</v>
      </c>
      <c r="I186" t="s">
        <v>31</v>
      </c>
      <c r="J186" s="50" t="s">
        <v>813</v>
      </c>
      <c r="K186" t="s">
        <v>18</v>
      </c>
      <c r="L186" s="2">
        <v>36794</v>
      </c>
      <c r="M186" t="s">
        <v>12</v>
      </c>
    </row>
    <row r="187" spans="1:13" x14ac:dyDescent="0.2">
      <c r="A187" s="66"/>
      <c r="B187" s="53">
        <v>7872699</v>
      </c>
      <c r="C187" t="s">
        <v>100</v>
      </c>
      <c r="D187" t="s">
        <v>0</v>
      </c>
      <c r="E187" s="44">
        <v>52</v>
      </c>
      <c r="F187" s="51" t="s">
        <v>769</v>
      </c>
      <c r="G187" s="1">
        <v>9890</v>
      </c>
      <c r="H187" t="s">
        <v>4</v>
      </c>
      <c r="I187" t="s">
        <v>34</v>
      </c>
      <c r="J187" s="50" t="s">
        <v>813</v>
      </c>
      <c r="K187" s="45" t="s">
        <v>18</v>
      </c>
      <c r="L187" s="2">
        <v>37047</v>
      </c>
      <c r="M187" t="s">
        <v>12</v>
      </c>
    </row>
    <row r="188" spans="1:13" x14ac:dyDescent="0.2">
      <c r="A188" s="66"/>
      <c r="B188" s="53">
        <v>12426308</v>
      </c>
      <c r="C188" t="s">
        <v>283</v>
      </c>
      <c r="D188" t="s">
        <v>0</v>
      </c>
      <c r="E188" s="44">
        <v>39</v>
      </c>
      <c r="F188" s="51" t="s">
        <v>769</v>
      </c>
      <c r="G188" s="1">
        <v>9628</v>
      </c>
      <c r="H188" t="s">
        <v>4</v>
      </c>
      <c r="I188" t="s">
        <v>34</v>
      </c>
      <c r="J188" s="50" t="s">
        <v>813</v>
      </c>
      <c r="K188" t="s">
        <v>18</v>
      </c>
      <c r="L188" s="2">
        <v>37533</v>
      </c>
      <c r="M188" t="s">
        <v>12</v>
      </c>
    </row>
    <row r="189" spans="1:13" x14ac:dyDescent="0.2">
      <c r="A189" s="66"/>
      <c r="B189" s="53">
        <v>12514045</v>
      </c>
      <c r="C189" t="s">
        <v>289</v>
      </c>
      <c r="D189" t="s">
        <v>0</v>
      </c>
      <c r="E189" s="44">
        <v>39</v>
      </c>
      <c r="F189" s="51" t="s">
        <v>769</v>
      </c>
      <c r="G189" s="1">
        <v>9628</v>
      </c>
      <c r="H189" t="s">
        <v>4</v>
      </c>
      <c r="I189" t="s">
        <v>46</v>
      </c>
      <c r="J189" s="50" t="s">
        <v>813</v>
      </c>
      <c r="K189" t="s">
        <v>18</v>
      </c>
      <c r="L189" s="2">
        <v>37991</v>
      </c>
      <c r="M189" t="s">
        <v>12</v>
      </c>
    </row>
    <row r="190" spans="1:13" x14ac:dyDescent="0.2">
      <c r="A190" s="66"/>
      <c r="B190" s="53">
        <v>14008412</v>
      </c>
      <c r="C190" t="s">
        <v>368</v>
      </c>
      <c r="D190" t="s">
        <v>0</v>
      </c>
      <c r="E190" s="44">
        <v>35</v>
      </c>
      <c r="F190" s="51" t="s">
        <v>769</v>
      </c>
      <c r="G190" s="1">
        <v>9602</v>
      </c>
      <c r="H190" t="s">
        <v>4</v>
      </c>
      <c r="I190" t="s">
        <v>46</v>
      </c>
      <c r="J190" s="50" t="s">
        <v>813</v>
      </c>
      <c r="K190" t="s">
        <v>18</v>
      </c>
      <c r="L190" s="2">
        <v>37991</v>
      </c>
      <c r="M190" t="s">
        <v>12</v>
      </c>
    </row>
    <row r="191" spans="1:13" x14ac:dyDescent="0.2">
      <c r="A191" s="66"/>
      <c r="B191" s="53">
        <v>6982150</v>
      </c>
      <c r="C191" t="s">
        <v>80</v>
      </c>
      <c r="D191" t="s">
        <v>0</v>
      </c>
      <c r="E191" s="44">
        <v>52</v>
      </c>
      <c r="F191" s="51" t="s">
        <v>769</v>
      </c>
      <c r="G191" s="1">
        <v>9685</v>
      </c>
      <c r="H191" t="s">
        <v>4</v>
      </c>
      <c r="I191" t="s">
        <v>31</v>
      </c>
      <c r="J191" s="50" t="s">
        <v>813</v>
      </c>
      <c r="K191" t="s">
        <v>18</v>
      </c>
      <c r="L191" s="2">
        <v>37991</v>
      </c>
      <c r="M191" t="s">
        <v>12</v>
      </c>
    </row>
    <row r="192" spans="1:13" x14ac:dyDescent="0.2">
      <c r="A192" s="66"/>
      <c r="B192" s="53">
        <v>10468515</v>
      </c>
      <c r="C192" t="s">
        <v>208</v>
      </c>
      <c r="D192" t="s">
        <v>0</v>
      </c>
      <c r="E192" s="44">
        <v>44</v>
      </c>
      <c r="F192" s="51" t="s">
        <v>769</v>
      </c>
      <c r="G192" s="1">
        <v>13035</v>
      </c>
      <c r="H192" t="s">
        <v>4</v>
      </c>
      <c r="I192" t="s">
        <v>34</v>
      </c>
      <c r="J192" s="50" t="s">
        <v>813</v>
      </c>
      <c r="K192" t="s">
        <v>18</v>
      </c>
      <c r="L192" s="2">
        <v>37991</v>
      </c>
      <c r="M192" t="s">
        <v>48</v>
      </c>
    </row>
    <row r="193" spans="1:13" x14ac:dyDescent="0.2">
      <c r="A193" s="66"/>
      <c r="B193" s="53">
        <v>12530943</v>
      </c>
      <c r="C193" t="s">
        <v>290</v>
      </c>
      <c r="D193" t="s">
        <v>0</v>
      </c>
      <c r="E193" s="44">
        <v>40</v>
      </c>
      <c r="F193" s="51" t="s">
        <v>769</v>
      </c>
      <c r="G193" s="1">
        <v>9640</v>
      </c>
      <c r="H193" t="s">
        <v>4</v>
      </c>
      <c r="I193" t="s">
        <v>31</v>
      </c>
      <c r="J193" s="50" t="s">
        <v>813</v>
      </c>
      <c r="K193" t="s">
        <v>18</v>
      </c>
      <c r="L193" s="2">
        <v>37991</v>
      </c>
      <c r="M193" t="s">
        <v>12</v>
      </c>
    </row>
    <row r="194" spans="1:13" x14ac:dyDescent="0.2">
      <c r="A194" s="66"/>
      <c r="B194" s="53">
        <v>13359270</v>
      </c>
      <c r="C194" t="s">
        <v>332</v>
      </c>
      <c r="D194" t="s">
        <v>0</v>
      </c>
      <c r="E194" s="44">
        <v>38</v>
      </c>
      <c r="F194" s="51" t="s">
        <v>769</v>
      </c>
      <c r="G194" s="1">
        <v>9628</v>
      </c>
      <c r="H194" t="s">
        <v>4</v>
      </c>
      <c r="I194" t="s">
        <v>5</v>
      </c>
      <c r="J194" s="50" t="s">
        <v>813</v>
      </c>
      <c r="K194" t="s">
        <v>18</v>
      </c>
      <c r="L194" s="2">
        <v>37991</v>
      </c>
      <c r="M194" t="s">
        <v>12</v>
      </c>
    </row>
    <row r="195" spans="1:13" x14ac:dyDescent="0.2">
      <c r="A195" s="66"/>
      <c r="B195" s="53">
        <v>13766246</v>
      </c>
      <c r="C195" t="s">
        <v>358</v>
      </c>
      <c r="D195" t="s">
        <v>0</v>
      </c>
      <c r="E195" s="44">
        <v>39</v>
      </c>
      <c r="F195" s="51" t="s">
        <v>769</v>
      </c>
      <c r="G195" s="1">
        <v>13095</v>
      </c>
      <c r="H195" t="s">
        <v>4</v>
      </c>
      <c r="I195" t="s">
        <v>5</v>
      </c>
      <c r="J195" s="50" t="s">
        <v>813</v>
      </c>
      <c r="K195" t="s">
        <v>18</v>
      </c>
      <c r="L195" s="2">
        <v>37991</v>
      </c>
      <c r="M195" t="s">
        <v>48</v>
      </c>
    </row>
    <row r="196" spans="1:13" x14ac:dyDescent="0.2">
      <c r="A196" s="66"/>
      <c r="B196" s="53">
        <v>14270113</v>
      </c>
      <c r="C196" t="s">
        <v>388</v>
      </c>
      <c r="D196" t="s">
        <v>0</v>
      </c>
      <c r="E196" s="44">
        <v>35</v>
      </c>
      <c r="F196" s="51" t="s">
        <v>769</v>
      </c>
      <c r="G196" s="1">
        <v>13095</v>
      </c>
      <c r="H196" t="s">
        <v>4</v>
      </c>
      <c r="I196" t="s">
        <v>31</v>
      </c>
      <c r="J196" s="50" t="s">
        <v>813</v>
      </c>
      <c r="K196" t="s">
        <v>18</v>
      </c>
      <c r="L196" s="2">
        <v>37991</v>
      </c>
      <c r="M196" t="s">
        <v>48</v>
      </c>
    </row>
    <row r="197" spans="1:13" x14ac:dyDescent="0.2">
      <c r="A197" s="66"/>
      <c r="B197" s="53">
        <v>14284665</v>
      </c>
      <c r="C197" t="s">
        <v>393</v>
      </c>
      <c r="D197" t="s">
        <v>0</v>
      </c>
      <c r="E197" s="44">
        <v>35</v>
      </c>
      <c r="F197" s="51" t="s">
        <v>769</v>
      </c>
      <c r="G197" s="1">
        <v>13035</v>
      </c>
      <c r="H197" t="s">
        <v>4</v>
      </c>
      <c r="I197" t="s">
        <v>5</v>
      </c>
      <c r="J197" s="50" t="s">
        <v>813</v>
      </c>
      <c r="K197" t="s">
        <v>18</v>
      </c>
      <c r="L197" s="2">
        <v>37991</v>
      </c>
      <c r="M197" t="s">
        <v>48</v>
      </c>
    </row>
    <row r="198" spans="1:13" x14ac:dyDescent="0.2">
      <c r="A198" s="66"/>
      <c r="B198" s="53">
        <v>16400930</v>
      </c>
      <c r="C198" t="s">
        <v>479</v>
      </c>
      <c r="D198" t="s">
        <v>0</v>
      </c>
      <c r="E198" s="44">
        <v>31</v>
      </c>
      <c r="F198" s="51" t="s">
        <v>769</v>
      </c>
      <c r="G198" s="1">
        <v>9602</v>
      </c>
      <c r="H198" t="s">
        <v>4</v>
      </c>
      <c r="I198" t="s">
        <v>2</v>
      </c>
      <c r="J198" s="50" t="s">
        <v>813</v>
      </c>
      <c r="K198" t="s">
        <v>18</v>
      </c>
      <c r="L198" s="2">
        <v>37991</v>
      </c>
      <c r="M198" t="s">
        <v>12</v>
      </c>
    </row>
    <row r="199" spans="1:13" x14ac:dyDescent="0.2">
      <c r="A199" s="66"/>
      <c r="B199" s="53">
        <v>11379513</v>
      </c>
      <c r="C199" t="s">
        <v>223</v>
      </c>
      <c r="D199" t="s">
        <v>0</v>
      </c>
      <c r="E199" s="44">
        <v>47</v>
      </c>
      <c r="F199" s="51" t="s">
        <v>769</v>
      </c>
      <c r="G199" s="1">
        <v>9461</v>
      </c>
      <c r="H199" t="s">
        <v>4</v>
      </c>
      <c r="I199" t="s">
        <v>34</v>
      </c>
      <c r="J199" s="50" t="s">
        <v>813</v>
      </c>
      <c r="K199" t="s">
        <v>18</v>
      </c>
      <c r="L199" s="2">
        <v>38353</v>
      </c>
      <c r="M199" t="s">
        <v>12</v>
      </c>
    </row>
    <row r="200" spans="1:13" x14ac:dyDescent="0.2">
      <c r="A200" s="66"/>
      <c r="B200" s="53">
        <v>15787069</v>
      </c>
      <c r="C200" t="s">
        <v>455</v>
      </c>
      <c r="D200" t="s">
        <v>0</v>
      </c>
      <c r="E200" s="44">
        <v>33</v>
      </c>
      <c r="F200" s="51" t="s">
        <v>769</v>
      </c>
      <c r="G200" s="1">
        <v>9575</v>
      </c>
      <c r="H200" t="s">
        <v>4</v>
      </c>
      <c r="I200" t="s">
        <v>31</v>
      </c>
      <c r="J200" s="50" t="s">
        <v>813</v>
      </c>
      <c r="K200" t="s">
        <v>18</v>
      </c>
      <c r="L200" s="2">
        <v>39027</v>
      </c>
      <c r="M200" t="s">
        <v>12</v>
      </c>
    </row>
    <row r="201" spans="1:13" x14ac:dyDescent="0.2">
      <c r="A201" s="66"/>
      <c r="B201" s="53">
        <v>14009707</v>
      </c>
      <c r="C201" t="s">
        <v>370</v>
      </c>
      <c r="D201" t="s">
        <v>0</v>
      </c>
      <c r="E201" s="44">
        <v>37</v>
      </c>
      <c r="F201" s="51" t="s">
        <v>769</v>
      </c>
      <c r="G201" s="1">
        <v>13035</v>
      </c>
      <c r="H201" t="s">
        <v>4</v>
      </c>
      <c r="I201" t="s">
        <v>46</v>
      </c>
      <c r="J201" s="50" t="s">
        <v>813</v>
      </c>
      <c r="K201" t="s">
        <v>18</v>
      </c>
      <c r="L201" s="2">
        <v>39125</v>
      </c>
      <c r="M201" t="s">
        <v>48</v>
      </c>
    </row>
    <row r="202" spans="1:13" x14ac:dyDescent="0.2">
      <c r="A202" s="66"/>
      <c r="B202" s="53">
        <v>18567331</v>
      </c>
      <c r="C202" t="s">
        <v>557</v>
      </c>
      <c r="D202" t="s">
        <v>0</v>
      </c>
      <c r="E202" s="44">
        <v>29</v>
      </c>
      <c r="F202" s="51" t="s">
        <v>769</v>
      </c>
      <c r="G202" s="1">
        <v>9383</v>
      </c>
      <c r="H202" t="s">
        <v>4</v>
      </c>
      <c r="I202" t="s">
        <v>5</v>
      </c>
      <c r="J202" s="50" t="s">
        <v>813</v>
      </c>
      <c r="K202" t="s">
        <v>18</v>
      </c>
      <c r="L202" s="2">
        <v>39134</v>
      </c>
      <c r="M202" t="s">
        <v>12</v>
      </c>
    </row>
    <row r="203" spans="1:13" x14ac:dyDescent="0.2">
      <c r="A203" s="66"/>
      <c r="B203" s="53">
        <v>15346186</v>
      </c>
      <c r="C203" t="s">
        <v>445</v>
      </c>
      <c r="D203" t="s">
        <v>0</v>
      </c>
      <c r="E203" s="44">
        <v>33</v>
      </c>
      <c r="F203" s="51" t="s">
        <v>769</v>
      </c>
      <c r="G203" s="1">
        <v>9383</v>
      </c>
      <c r="H203" t="s">
        <v>4</v>
      </c>
      <c r="I203" t="s">
        <v>34</v>
      </c>
      <c r="J203" s="50" t="s">
        <v>813</v>
      </c>
      <c r="K203" t="s">
        <v>18</v>
      </c>
      <c r="L203" s="2">
        <v>39134</v>
      </c>
      <c r="M203" t="s">
        <v>12</v>
      </c>
    </row>
    <row r="204" spans="1:13" x14ac:dyDescent="0.2">
      <c r="A204" s="66"/>
      <c r="B204" s="53">
        <v>17901254</v>
      </c>
      <c r="C204" t="s">
        <v>541</v>
      </c>
      <c r="D204" t="s">
        <v>0</v>
      </c>
      <c r="E204" s="44">
        <v>28</v>
      </c>
      <c r="F204" s="51" t="s">
        <v>769</v>
      </c>
      <c r="G204" s="1">
        <v>9275</v>
      </c>
      <c r="H204" t="s">
        <v>4</v>
      </c>
      <c r="I204" t="s">
        <v>5</v>
      </c>
      <c r="J204" s="50" t="s">
        <v>813</v>
      </c>
      <c r="K204" t="s">
        <v>18</v>
      </c>
      <c r="L204" s="2">
        <v>39552</v>
      </c>
      <c r="M204" t="s">
        <v>12</v>
      </c>
    </row>
    <row r="205" spans="1:13" x14ac:dyDescent="0.2">
      <c r="A205" s="66"/>
      <c r="B205" s="53">
        <v>14670499</v>
      </c>
      <c r="C205" t="s">
        <v>658</v>
      </c>
      <c r="D205" t="s">
        <v>0</v>
      </c>
      <c r="E205" s="44">
        <v>34</v>
      </c>
      <c r="F205" s="51" t="s">
        <v>769</v>
      </c>
      <c r="G205" s="1">
        <v>9025</v>
      </c>
      <c r="H205" t="s">
        <v>4</v>
      </c>
      <c r="I205" t="s">
        <v>31</v>
      </c>
      <c r="J205" s="50" t="s">
        <v>813</v>
      </c>
      <c r="K205" t="s">
        <v>18</v>
      </c>
      <c r="L205" s="2">
        <v>40042</v>
      </c>
      <c r="M205" t="s">
        <v>12</v>
      </c>
    </row>
    <row r="206" spans="1:13" x14ac:dyDescent="0.2">
      <c r="A206" s="66"/>
      <c r="B206" s="53">
        <v>19488198</v>
      </c>
      <c r="C206" t="s">
        <v>576</v>
      </c>
      <c r="D206" t="s">
        <v>0</v>
      </c>
      <c r="E206" s="44">
        <v>26</v>
      </c>
      <c r="F206" s="51" t="s">
        <v>769</v>
      </c>
      <c r="G206" s="1">
        <v>9275</v>
      </c>
      <c r="H206" t="s">
        <v>4</v>
      </c>
      <c r="I206" t="s">
        <v>46</v>
      </c>
      <c r="J206" s="50" t="s">
        <v>813</v>
      </c>
      <c r="K206" t="s">
        <v>18</v>
      </c>
      <c r="L206" s="2">
        <v>40059</v>
      </c>
      <c r="M206" t="s">
        <v>12</v>
      </c>
    </row>
    <row r="207" spans="1:13" x14ac:dyDescent="0.2">
      <c r="A207" s="66"/>
      <c r="B207" s="53">
        <v>14008928</v>
      </c>
      <c r="C207" t="s">
        <v>369</v>
      </c>
      <c r="D207" t="s">
        <v>0</v>
      </c>
      <c r="E207" s="44">
        <v>38</v>
      </c>
      <c r="F207" s="51" t="s">
        <v>769</v>
      </c>
      <c r="G207" s="1">
        <v>9275</v>
      </c>
      <c r="H207" t="s">
        <v>4</v>
      </c>
      <c r="I207" t="s">
        <v>5</v>
      </c>
      <c r="J207" s="50" t="s">
        <v>813</v>
      </c>
      <c r="K207" t="s">
        <v>18</v>
      </c>
      <c r="L207" s="2">
        <v>40059</v>
      </c>
      <c r="M207" t="s">
        <v>12</v>
      </c>
    </row>
    <row r="208" spans="1:13" x14ac:dyDescent="0.2">
      <c r="A208" s="66"/>
      <c r="B208" s="53">
        <v>14803225</v>
      </c>
      <c r="C208" t="s">
        <v>420</v>
      </c>
      <c r="D208" t="s">
        <v>0</v>
      </c>
      <c r="E208" s="44">
        <v>35</v>
      </c>
      <c r="F208" s="51" t="s">
        <v>769</v>
      </c>
      <c r="G208" s="1">
        <v>9275</v>
      </c>
      <c r="H208" t="s">
        <v>4</v>
      </c>
      <c r="I208" t="s">
        <v>34</v>
      </c>
      <c r="J208" s="50" t="s">
        <v>813</v>
      </c>
      <c r="K208" t="s">
        <v>18</v>
      </c>
      <c r="L208" s="2">
        <v>40059</v>
      </c>
      <c r="M208" t="s">
        <v>12</v>
      </c>
    </row>
    <row r="209" spans="1:13" x14ac:dyDescent="0.2">
      <c r="A209" s="66"/>
      <c r="B209" s="53">
        <v>19329660</v>
      </c>
      <c r="C209" t="s">
        <v>570</v>
      </c>
      <c r="D209" t="s">
        <v>0</v>
      </c>
      <c r="E209" s="44">
        <v>27</v>
      </c>
      <c r="F209" s="51" t="s">
        <v>769</v>
      </c>
      <c r="G209" s="1">
        <v>9275</v>
      </c>
      <c r="H209" t="s">
        <v>4</v>
      </c>
      <c r="I209" t="s">
        <v>46</v>
      </c>
      <c r="J209" s="50" t="s">
        <v>813</v>
      </c>
      <c r="K209" t="s">
        <v>18</v>
      </c>
      <c r="L209" s="2">
        <v>40059</v>
      </c>
      <c r="M209" t="s">
        <v>12</v>
      </c>
    </row>
    <row r="210" spans="1:13" x14ac:dyDescent="0.2">
      <c r="A210" s="66"/>
      <c r="B210" s="53">
        <v>18238526</v>
      </c>
      <c r="C210" t="s">
        <v>547</v>
      </c>
      <c r="D210" t="s">
        <v>0</v>
      </c>
      <c r="E210" s="44">
        <v>30</v>
      </c>
      <c r="F210" s="51" t="s">
        <v>769</v>
      </c>
      <c r="G210" s="1">
        <v>9275</v>
      </c>
      <c r="H210" t="s">
        <v>4</v>
      </c>
      <c r="I210" t="s">
        <v>46</v>
      </c>
      <c r="J210" s="50" t="s">
        <v>813</v>
      </c>
      <c r="K210" t="s">
        <v>18</v>
      </c>
      <c r="L210" s="2">
        <v>40576</v>
      </c>
      <c r="M210" t="s">
        <v>12</v>
      </c>
    </row>
    <row r="211" spans="1:13" x14ac:dyDescent="0.2">
      <c r="A211" s="66"/>
      <c r="B211" s="53">
        <v>16491624</v>
      </c>
      <c r="C211" t="s">
        <v>487</v>
      </c>
      <c r="D211" t="s">
        <v>0</v>
      </c>
      <c r="E211" s="44">
        <v>31</v>
      </c>
      <c r="F211" s="51" t="s">
        <v>769</v>
      </c>
      <c r="G211" s="1">
        <v>9025</v>
      </c>
      <c r="H211" t="s">
        <v>4</v>
      </c>
      <c r="I211" t="s">
        <v>31</v>
      </c>
      <c r="J211" s="50" t="s">
        <v>813</v>
      </c>
      <c r="K211" t="s">
        <v>18</v>
      </c>
      <c r="L211" s="2">
        <v>40868</v>
      </c>
      <c r="M211" t="s">
        <v>12</v>
      </c>
    </row>
    <row r="212" spans="1:13" x14ac:dyDescent="0.2">
      <c r="A212" s="66"/>
      <c r="B212" s="53">
        <v>15193720</v>
      </c>
      <c r="C212" t="s">
        <v>436</v>
      </c>
      <c r="D212" t="s">
        <v>0</v>
      </c>
      <c r="E212" s="44">
        <v>33</v>
      </c>
      <c r="F212" s="51" t="s">
        <v>769</v>
      </c>
      <c r="G212" s="1">
        <v>9025</v>
      </c>
      <c r="H212" t="s">
        <v>4</v>
      </c>
      <c r="I212" t="s">
        <v>5</v>
      </c>
      <c r="J212" s="50" t="s">
        <v>813</v>
      </c>
      <c r="K212" t="s">
        <v>18</v>
      </c>
      <c r="L212" s="2">
        <v>40868</v>
      </c>
      <c r="M212" t="s">
        <v>12</v>
      </c>
    </row>
    <row r="213" spans="1:13" x14ac:dyDescent="0.2">
      <c r="A213" s="66"/>
      <c r="B213" s="53">
        <v>15290833</v>
      </c>
      <c r="C213" t="s">
        <v>443</v>
      </c>
      <c r="D213" t="s">
        <v>0</v>
      </c>
      <c r="E213" s="44">
        <v>35</v>
      </c>
      <c r="F213" s="51" t="s">
        <v>769</v>
      </c>
      <c r="G213" s="1">
        <v>9025</v>
      </c>
      <c r="H213" t="s">
        <v>4</v>
      </c>
      <c r="I213" t="s">
        <v>34</v>
      </c>
      <c r="J213" s="50" t="s">
        <v>813</v>
      </c>
      <c r="K213" t="s">
        <v>18</v>
      </c>
      <c r="L213" s="2">
        <v>40868</v>
      </c>
      <c r="M213" t="s">
        <v>12</v>
      </c>
    </row>
    <row r="214" spans="1:13" x14ac:dyDescent="0.2">
      <c r="A214" s="66"/>
      <c r="B214" s="53">
        <v>20633283</v>
      </c>
      <c r="C214" t="s">
        <v>585</v>
      </c>
      <c r="D214" t="s">
        <v>0</v>
      </c>
      <c r="E214" s="44">
        <v>25</v>
      </c>
      <c r="F214" s="51" t="s">
        <v>769</v>
      </c>
      <c r="G214" s="1">
        <v>9025</v>
      </c>
      <c r="H214" t="s">
        <v>4</v>
      </c>
      <c r="I214" t="s">
        <v>46</v>
      </c>
      <c r="J214" s="50" t="s">
        <v>813</v>
      </c>
      <c r="K214" t="s">
        <v>18</v>
      </c>
      <c r="L214" s="2">
        <v>40868</v>
      </c>
      <c r="M214" t="s">
        <v>12</v>
      </c>
    </row>
    <row r="215" spans="1:13" x14ac:dyDescent="0.2">
      <c r="A215" s="66"/>
      <c r="B215" s="53">
        <v>15236057</v>
      </c>
      <c r="C215" t="s">
        <v>439</v>
      </c>
      <c r="D215" t="s">
        <v>0</v>
      </c>
      <c r="E215" s="44">
        <v>33</v>
      </c>
      <c r="F215" s="51" t="s">
        <v>769</v>
      </c>
      <c r="G215" s="1">
        <v>9025</v>
      </c>
      <c r="H215" t="s">
        <v>4</v>
      </c>
      <c r="I215" t="s">
        <v>5</v>
      </c>
      <c r="J215" s="50" t="s">
        <v>813</v>
      </c>
      <c r="K215" t="s">
        <v>18</v>
      </c>
      <c r="L215" s="2">
        <v>41334</v>
      </c>
      <c r="M215" t="s">
        <v>12</v>
      </c>
    </row>
    <row r="216" spans="1:13" x14ac:dyDescent="0.2">
      <c r="A216" s="66"/>
      <c r="B216" s="53">
        <v>15678020</v>
      </c>
      <c r="C216" t="s">
        <v>452</v>
      </c>
      <c r="D216" t="s">
        <v>0</v>
      </c>
      <c r="E216" s="44">
        <v>33</v>
      </c>
      <c r="F216" s="51" t="s">
        <v>769</v>
      </c>
      <c r="G216" s="1">
        <v>9025</v>
      </c>
      <c r="H216" t="s">
        <v>4</v>
      </c>
      <c r="I216" t="s">
        <v>31</v>
      </c>
      <c r="J216" s="50" t="s">
        <v>813</v>
      </c>
      <c r="K216" t="s">
        <v>18</v>
      </c>
      <c r="L216" s="2">
        <v>41334</v>
      </c>
      <c r="M216" t="s">
        <v>12</v>
      </c>
    </row>
    <row r="217" spans="1:13" x14ac:dyDescent="0.2">
      <c r="A217" s="66"/>
      <c r="B217" s="53">
        <v>17972665</v>
      </c>
      <c r="C217" t="s">
        <v>542</v>
      </c>
      <c r="D217" t="s">
        <v>0</v>
      </c>
      <c r="E217" s="44">
        <v>28</v>
      </c>
      <c r="F217" s="51" t="s">
        <v>769</v>
      </c>
      <c r="G217" s="1">
        <v>9025</v>
      </c>
      <c r="H217" t="s">
        <v>4</v>
      </c>
      <c r="I217" t="s">
        <v>46</v>
      </c>
      <c r="J217" s="50" t="s">
        <v>813</v>
      </c>
      <c r="K217" t="s">
        <v>18</v>
      </c>
      <c r="L217" s="2">
        <v>41334</v>
      </c>
      <c r="M217" t="s">
        <v>12</v>
      </c>
    </row>
    <row r="218" spans="1:13" x14ac:dyDescent="0.2">
      <c r="A218" s="66"/>
      <c r="B218" s="53">
        <v>18621040</v>
      </c>
      <c r="C218" t="s">
        <v>560</v>
      </c>
      <c r="D218" t="s">
        <v>0</v>
      </c>
      <c r="E218" s="44">
        <v>29</v>
      </c>
      <c r="F218" s="51" t="s">
        <v>769</v>
      </c>
      <c r="G218" s="1">
        <v>9025</v>
      </c>
      <c r="H218" t="s">
        <v>4</v>
      </c>
      <c r="I218" t="s">
        <v>5</v>
      </c>
      <c r="J218" s="50" t="s">
        <v>813</v>
      </c>
      <c r="K218" t="s">
        <v>18</v>
      </c>
      <c r="L218" s="2">
        <v>41334</v>
      </c>
      <c r="M218" t="s">
        <v>12</v>
      </c>
    </row>
    <row r="219" spans="1:13" x14ac:dyDescent="0.2">
      <c r="A219" s="66"/>
      <c r="B219" s="53">
        <v>18127506</v>
      </c>
      <c r="C219" t="s">
        <v>545</v>
      </c>
      <c r="D219" t="s">
        <v>0</v>
      </c>
      <c r="E219" s="44">
        <v>27</v>
      </c>
      <c r="F219" s="51" t="s">
        <v>769</v>
      </c>
      <c r="G219" s="1">
        <v>9025</v>
      </c>
      <c r="H219" t="s">
        <v>4</v>
      </c>
      <c r="I219" t="s">
        <v>34</v>
      </c>
      <c r="J219" s="50" t="s">
        <v>813</v>
      </c>
      <c r="K219" t="s">
        <v>18</v>
      </c>
      <c r="L219" s="2">
        <v>41673</v>
      </c>
      <c r="M219" t="s">
        <v>12</v>
      </c>
    </row>
    <row r="220" spans="1:13" x14ac:dyDescent="0.2">
      <c r="A220" s="66"/>
      <c r="B220" s="53">
        <v>14285944</v>
      </c>
      <c r="C220" t="s">
        <v>666</v>
      </c>
      <c r="D220" t="s">
        <v>0</v>
      </c>
      <c r="E220" s="44">
        <v>34</v>
      </c>
      <c r="F220" s="51" t="s">
        <v>769</v>
      </c>
      <c r="G220" s="1">
        <v>9025</v>
      </c>
      <c r="H220" t="s">
        <v>4</v>
      </c>
      <c r="I220" t="s">
        <v>31</v>
      </c>
      <c r="J220" s="50" t="s">
        <v>813</v>
      </c>
      <c r="K220" t="s">
        <v>18</v>
      </c>
      <c r="L220" s="2">
        <v>41764</v>
      </c>
      <c r="M220" t="s">
        <v>12</v>
      </c>
    </row>
    <row r="221" spans="1:13" x14ac:dyDescent="0.2">
      <c r="A221" s="66"/>
      <c r="B221" s="53">
        <v>19184617</v>
      </c>
      <c r="C221" t="s">
        <v>668</v>
      </c>
      <c r="D221" t="s">
        <v>0</v>
      </c>
      <c r="E221" s="44">
        <v>26</v>
      </c>
      <c r="F221" s="51" t="s">
        <v>769</v>
      </c>
      <c r="G221" s="1">
        <v>9025</v>
      </c>
      <c r="H221" t="s">
        <v>4</v>
      </c>
      <c r="I221" t="s">
        <v>5</v>
      </c>
      <c r="J221" s="50" t="s">
        <v>813</v>
      </c>
      <c r="K221" t="s">
        <v>18</v>
      </c>
      <c r="L221" s="2">
        <v>41764</v>
      </c>
      <c r="M221" t="s">
        <v>12</v>
      </c>
    </row>
    <row r="222" spans="1:13" x14ac:dyDescent="0.2">
      <c r="A222" s="66"/>
      <c r="B222" s="53">
        <v>15035179</v>
      </c>
      <c r="C222" t="s">
        <v>701</v>
      </c>
      <c r="D222" t="s">
        <v>0</v>
      </c>
      <c r="E222" s="44">
        <v>35</v>
      </c>
      <c r="F222" s="51" t="s">
        <v>769</v>
      </c>
      <c r="G222" s="1">
        <v>21450</v>
      </c>
      <c r="H222" t="s">
        <v>1</v>
      </c>
      <c r="I222" t="s">
        <v>2</v>
      </c>
      <c r="J222" s="50" t="s">
        <v>813</v>
      </c>
      <c r="K222" t="s">
        <v>18</v>
      </c>
      <c r="L222" s="2">
        <v>41884</v>
      </c>
      <c r="M222" t="s">
        <v>272</v>
      </c>
    </row>
    <row r="223" spans="1:13" x14ac:dyDescent="0.2">
      <c r="A223" s="66"/>
      <c r="B223" s="53">
        <v>16237332</v>
      </c>
      <c r="C223" t="s">
        <v>756</v>
      </c>
      <c r="D223" t="s">
        <v>0</v>
      </c>
      <c r="E223" s="44">
        <v>20</v>
      </c>
      <c r="F223" s="51" t="s">
        <v>768</v>
      </c>
      <c r="G223" s="1">
        <v>8535</v>
      </c>
      <c r="H223" t="s">
        <v>4</v>
      </c>
      <c r="I223" t="s">
        <v>31</v>
      </c>
      <c r="J223" s="50" t="s">
        <v>813</v>
      </c>
      <c r="K223" t="s">
        <v>18</v>
      </c>
      <c r="L223" s="2">
        <v>42037</v>
      </c>
      <c r="M223" t="s">
        <v>12</v>
      </c>
    </row>
    <row r="224" spans="1:13" x14ac:dyDescent="0.2">
      <c r="A224" s="66"/>
      <c r="B224" s="53">
        <v>15892175</v>
      </c>
      <c r="C224" t="s">
        <v>762</v>
      </c>
      <c r="D224" t="s">
        <v>0</v>
      </c>
      <c r="E224" s="44">
        <v>33</v>
      </c>
      <c r="F224" s="51" t="s">
        <v>768</v>
      </c>
      <c r="G224" s="1">
        <v>8535</v>
      </c>
      <c r="H224" t="s">
        <v>4</v>
      </c>
      <c r="I224" t="s">
        <v>31</v>
      </c>
      <c r="J224" s="50" t="s">
        <v>813</v>
      </c>
      <c r="K224" t="s">
        <v>18</v>
      </c>
      <c r="L224" s="2">
        <v>42079</v>
      </c>
      <c r="M224" t="s">
        <v>12</v>
      </c>
    </row>
    <row r="225" spans="1:13" x14ac:dyDescent="0.2">
      <c r="A225" s="66"/>
      <c r="B225" s="53">
        <v>19646315</v>
      </c>
      <c r="C225" t="s">
        <v>774</v>
      </c>
      <c r="D225" t="s">
        <v>0</v>
      </c>
      <c r="E225" s="44">
        <v>26</v>
      </c>
      <c r="F225" s="51" t="s">
        <v>768</v>
      </c>
      <c r="G225" s="1">
        <v>8535</v>
      </c>
      <c r="H225" t="s">
        <v>4</v>
      </c>
      <c r="I225" t="s">
        <v>34</v>
      </c>
      <c r="J225" s="50" t="s">
        <v>813</v>
      </c>
      <c r="K225" s="36" t="s">
        <v>18</v>
      </c>
      <c r="L225" s="2">
        <v>42100</v>
      </c>
      <c r="M225" s="36" t="s">
        <v>12</v>
      </c>
    </row>
    <row r="226" spans="1:13" x14ac:dyDescent="0.2">
      <c r="A226" s="66"/>
      <c r="B226" s="53">
        <v>18905185</v>
      </c>
      <c r="C226" t="s">
        <v>775</v>
      </c>
      <c r="D226" t="s">
        <v>0</v>
      </c>
      <c r="E226" s="44">
        <v>27</v>
      </c>
      <c r="F226" s="51" t="s">
        <v>768</v>
      </c>
      <c r="G226" s="1">
        <v>8535</v>
      </c>
      <c r="H226" t="s">
        <v>4</v>
      </c>
      <c r="I226" t="s">
        <v>46</v>
      </c>
      <c r="J226" s="50" t="s">
        <v>813</v>
      </c>
      <c r="K226" t="s">
        <v>18</v>
      </c>
      <c r="L226" s="2">
        <v>42100</v>
      </c>
      <c r="M226" t="s">
        <v>12</v>
      </c>
    </row>
    <row r="227" spans="1:13" x14ac:dyDescent="0.2">
      <c r="A227" s="67"/>
      <c r="B227" s="53">
        <v>21407805</v>
      </c>
      <c r="C227" t="s">
        <v>797</v>
      </c>
      <c r="D227" t="s">
        <v>0</v>
      </c>
      <c r="E227" s="44">
        <v>23</v>
      </c>
      <c r="F227" s="51" t="s">
        <v>768</v>
      </c>
      <c r="G227" s="1">
        <v>8535</v>
      </c>
      <c r="H227" t="s">
        <v>4</v>
      </c>
      <c r="I227" t="s">
        <v>5</v>
      </c>
      <c r="J227" s="50" t="s">
        <v>813</v>
      </c>
      <c r="K227" t="s">
        <v>18</v>
      </c>
      <c r="L227" s="2">
        <v>42128</v>
      </c>
      <c r="M227" t="s">
        <v>12</v>
      </c>
    </row>
    <row r="228" spans="1:13" x14ac:dyDescent="0.2">
      <c r="A228" s="66"/>
      <c r="B228" s="53">
        <v>14189842</v>
      </c>
      <c r="C228" t="s">
        <v>912</v>
      </c>
      <c r="D228" t="s">
        <v>0</v>
      </c>
      <c r="E228" s="44">
        <v>36</v>
      </c>
      <c r="F228" s="51" t="s">
        <v>768</v>
      </c>
      <c r="G228" s="1">
        <v>8535</v>
      </c>
      <c r="H228" t="s">
        <v>4</v>
      </c>
      <c r="I228" t="s">
        <v>34</v>
      </c>
      <c r="J228" s="50" t="s">
        <v>813</v>
      </c>
      <c r="K228" t="s">
        <v>18</v>
      </c>
      <c r="L228" s="2">
        <v>42291</v>
      </c>
      <c r="M228" t="s">
        <v>12</v>
      </c>
    </row>
    <row r="229" spans="1:13" x14ac:dyDescent="0.2">
      <c r="A229" s="66"/>
      <c r="B229" s="53">
        <v>16573639</v>
      </c>
      <c r="C229" t="s">
        <v>913</v>
      </c>
      <c r="D229" t="s">
        <v>0</v>
      </c>
      <c r="E229" s="44">
        <v>31</v>
      </c>
      <c r="F229" s="51" t="s">
        <v>768</v>
      </c>
      <c r="G229" s="1">
        <v>8535</v>
      </c>
      <c r="H229" t="s">
        <v>4</v>
      </c>
      <c r="I229" t="s">
        <v>31</v>
      </c>
      <c r="J229" s="50" t="s">
        <v>813</v>
      </c>
      <c r="K229" t="s">
        <v>18</v>
      </c>
      <c r="L229" s="2">
        <v>42291</v>
      </c>
      <c r="M229" t="s">
        <v>12</v>
      </c>
    </row>
    <row r="230" spans="1:13" x14ac:dyDescent="0.2">
      <c r="A230" s="66"/>
      <c r="B230" s="53">
        <v>16926245</v>
      </c>
      <c r="C230" t="s">
        <v>914</v>
      </c>
      <c r="D230" t="s">
        <v>0</v>
      </c>
      <c r="E230" s="44">
        <v>32</v>
      </c>
      <c r="F230" s="51" t="s">
        <v>768</v>
      </c>
      <c r="G230" s="1">
        <v>8535</v>
      </c>
      <c r="H230" t="s">
        <v>4</v>
      </c>
      <c r="I230" t="s">
        <v>2</v>
      </c>
      <c r="J230" s="50" t="s">
        <v>813</v>
      </c>
      <c r="K230" t="s">
        <v>18</v>
      </c>
      <c r="L230" s="2">
        <v>42291</v>
      </c>
      <c r="M230" t="s">
        <v>12</v>
      </c>
    </row>
    <row r="231" spans="1:13" x14ac:dyDescent="0.2">
      <c r="A231" s="66"/>
      <c r="B231" s="53">
        <v>17235430</v>
      </c>
      <c r="C231" t="s">
        <v>915</v>
      </c>
      <c r="D231" t="s">
        <v>0</v>
      </c>
      <c r="E231" s="44">
        <v>29</v>
      </c>
      <c r="F231" s="51" t="s">
        <v>768</v>
      </c>
      <c r="G231" s="1">
        <v>8535</v>
      </c>
      <c r="H231" t="s">
        <v>4</v>
      </c>
      <c r="I231" t="s">
        <v>31</v>
      </c>
      <c r="J231" s="50" t="s">
        <v>813</v>
      </c>
      <c r="K231" t="s">
        <v>18</v>
      </c>
      <c r="L231" s="2">
        <v>42291</v>
      </c>
      <c r="M231" t="s">
        <v>12</v>
      </c>
    </row>
    <row r="232" spans="1:13" x14ac:dyDescent="0.2">
      <c r="A232" s="66"/>
      <c r="B232" s="53">
        <v>18128795</v>
      </c>
      <c r="C232" t="s">
        <v>916</v>
      </c>
      <c r="D232" t="s">
        <v>0</v>
      </c>
      <c r="E232" s="44">
        <v>28</v>
      </c>
      <c r="F232" s="51" t="s">
        <v>768</v>
      </c>
      <c r="G232" s="1">
        <v>8535</v>
      </c>
      <c r="H232" t="s">
        <v>4</v>
      </c>
      <c r="I232" t="s">
        <v>2</v>
      </c>
      <c r="J232" s="50" t="s">
        <v>813</v>
      </c>
      <c r="K232" t="s">
        <v>18</v>
      </c>
      <c r="L232" s="2">
        <v>42291</v>
      </c>
      <c r="M232" t="s">
        <v>12</v>
      </c>
    </row>
    <row r="233" spans="1:13" x14ac:dyDescent="0.2">
      <c r="A233" s="66"/>
      <c r="B233" s="53">
        <v>20359364</v>
      </c>
      <c r="C233" t="s">
        <v>917</v>
      </c>
      <c r="D233" t="s">
        <v>0</v>
      </c>
      <c r="E233" s="44">
        <v>23</v>
      </c>
      <c r="F233" s="51" t="s">
        <v>768</v>
      </c>
      <c r="G233" s="1">
        <v>8535</v>
      </c>
      <c r="H233" t="s">
        <v>4</v>
      </c>
      <c r="I233" t="s">
        <v>2</v>
      </c>
      <c r="J233" s="50" t="s">
        <v>813</v>
      </c>
      <c r="K233" t="s">
        <v>18</v>
      </c>
      <c r="L233" s="2">
        <v>42291</v>
      </c>
      <c r="M233" t="s">
        <v>12</v>
      </c>
    </row>
    <row r="234" spans="1:13" x14ac:dyDescent="0.2">
      <c r="A234" s="66"/>
      <c r="B234" s="53">
        <v>6293595</v>
      </c>
      <c r="C234" t="s">
        <v>66</v>
      </c>
      <c r="D234" t="s">
        <v>0</v>
      </c>
      <c r="E234" s="44">
        <v>46</v>
      </c>
      <c r="F234" s="51" t="s">
        <v>769</v>
      </c>
      <c r="G234" s="1">
        <v>43230</v>
      </c>
      <c r="H234" t="s">
        <v>1</v>
      </c>
      <c r="I234" t="s">
        <v>2</v>
      </c>
      <c r="J234" s="50" t="s">
        <v>813</v>
      </c>
      <c r="K234" t="s">
        <v>28</v>
      </c>
      <c r="L234" s="2">
        <v>36374</v>
      </c>
      <c r="M234" t="s">
        <v>67</v>
      </c>
    </row>
    <row r="235" spans="1:13" x14ac:dyDescent="0.2">
      <c r="A235" s="66"/>
      <c r="B235" s="53">
        <v>12504081</v>
      </c>
      <c r="C235" t="s">
        <v>284</v>
      </c>
      <c r="D235" t="s">
        <v>0</v>
      </c>
      <c r="E235" s="44">
        <v>39</v>
      </c>
      <c r="F235" s="51" t="s">
        <v>769</v>
      </c>
      <c r="G235" s="1">
        <v>32050</v>
      </c>
      <c r="H235" t="s">
        <v>1</v>
      </c>
      <c r="I235" t="s">
        <v>2</v>
      </c>
      <c r="J235" s="50" t="s">
        <v>813</v>
      </c>
      <c r="K235" t="s">
        <v>28</v>
      </c>
      <c r="L235" s="2">
        <v>36465</v>
      </c>
      <c r="M235" t="s">
        <v>23</v>
      </c>
    </row>
    <row r="236" spans="1:13" x14ac:dyDescent="0.2">
      <c r="A236" s="66"/>
      <c r="B236" s="53">
        <v>13582934</v>
      </c>
      <c r="C236" t="s">
        <v>340</v>
      </c>
      <c r="D236" t="s">
        <v>0</v>
      </c>
      <c r="E236" s="44">
        <v>37</v>
      </c>
      <c r="F236" s="51" t="s">
        <v>769</v>
      </c>
      <c r="G236" s="1">
        <v>25300</v>
      </c>
      <c r="H236" t="s">
        <v>1</v>
      </c>
      <c r="I236" t="s">
        <v>10</v>
      </c>
      <c r="J236" s="50" t="s">
        <v>813</v>
      </c>
      <c r="K236" t="s">
        <v>28</v>
      </c>
      <c r="L236" s="2">
        <v>36465</v>
      </c>
      <c r="M236" t="s">
        <v>15</v>
      </c>
    </row>
    <row r="237" spans="1:13" x14ac:dyDescent="0.2">
      <c r="A237" s="66"/>
      <c r="B237" s="53">
        <v>14477266</v>
      </c>
      <c r="C237" t="s">
        <v>402</v>
      </c>
      <c r="D237" t="s">
        <v>0</v>
      </c>
      <c r="E237" s="44">
        <v>36</v>
      </c>
      <c r="F237" s="51" t="s">
        <v>769</v>
      </c>
      <c r="G237" s="1">
        <v>24600</v>
      </c>
      <c r="H237" t="s">
        <v>1</v>
      </c>
      <c r="I237" t="s">
        <v>8</v>
      </c>
      <c r="J237" s="50" t="s">
        <v>813</v>
      </c>
      <c r="K237" t="s">
        <v>28</v>
      </c>
      <c r="L237" s="2">
        <v>36465</v>
      </c>
      <c r="M237" t="s">
        <v>15</v>
      </c>
    </row>
    <row r="238" spans="1:13" x14ac:dyDescent="0.2">
      <c r="A238" s="66"/>
      <c r="B238" s="53">
        <v>11903029</v>
      </c>
      <c r="C238" t="s">
        <v>251</v>
      </c>
      <c r="D238" t="s">
        <v>0</v>
      </c>
      <c r="E238" s="44">
        <v>43</v>
      </c>
      <c r="F238" s="51" t="s">
        <v>769</v>
      </c>
      <c r="G238" s="1">
        <v>9952</v>
      </c>
      <c r="H238" t="s">
        <v>4</v>
      </c>
      <c r="I238" t="s">
        <v>5</v>
      </c>
      <c r="J238" s="50" t="s">
        <v>813</v>
      </c>
      <c r="K238" t="s">
        <v>28</v>
      </c>
      <c r="L238" s="2">
        <v>36465</v>
      </c>
      <c r="M238" t="s">
        <v>12</v>
      </c>
    </row>
    <row r="239" spans="1:13" x14ac:dyDescent="0.2">
      <c r="A239" s="66"/>
      <c r="B239" s="53">
        <v>13935103</v>
      </c>
      <c r="C239" t="s">
        <v>366</v>
      </c>
      <c r="D239" t="s">
        <v>0</v>
      </c>
      <c r="E239" s="44">
        <v>36</v>
      </c>
      <c r="F239" s="51" t="s">
        <v>769</v>
      </c>
      <c r="G239" s="1">
        <v>13035</v>
      </c>
      <c r="H239" t="s">
        <v>4</v>
      </c>
      <c r="I239" t="s">
        <v>5</v>
      </c>
      <c r="J239" s="50" t="s">
        <v>813</v>
      </c>
      <c r="K239" t="s">
        <v>28</v>
      </c>
      <c r="L239" s="2">
        <v>36465</v>
      </c>
      <c r="M239" t="s">
        <v>48</v>
      </c>
    </row>
    <row r="240" spans="1:13" x14ac:dyDescent="0.2">
      <c r="A240" s="66"/>
      <c r="B240" s="53">
        <v>11833156</v>
      </c>
      <c r="C240" t="s">
        <v>247</v>
      </c>
      <c r="D240" t="s">
        <v>0</v>
      </c>
      <c r="E240" s="44">
        <v>41</v>
      </c>
      <c r="F240" s="51" t="s">
        <v>769</v>
      </c>
      <c r="G240" s="1">
        <v>24065</v>
      </c>
      <c r="H240" t="s">
        <v>1</v>
      </c>
      <c r="I240" t="s">
        <v>3</v>
      </c>
      <c r="J240" s="50" t="s">
        <v>813</v>
      </c>
      <c r="K240" t="s">
        <v>28</v>
      </c>
      <c r="L240" s="2">
        <v>36773</v>
      </c>
      <c r="M240" t="s">
        <v>15</v>
      </c>
    </row>
    <row r="241" spans="1:13" x14ac:dyDescent="0.2">
      <c r="A241" s="66"/>
      <c r="B241" s="53">
        <v>8940742</v>
      </c>
      <c r="C241" t="s">
        <v>174</v>
      </c>
      <c r="D241" t="s">
        <v>0</v>
      </c>
      <c r="E241" s="44">
        <v>49</v>
      </c>
      <c r="F241" s="51" t="s">
        <v>769</v>
      </c>
      <c r="G241" s="1">
        <v>9970</v>
      </c>
      <c r="H241" t="s">
        <v>4</v>
      </c>
      <c r="I241" t="s">
        <v>5</v>
      </c>
      <c r="J241" s="50" t="s">
        <v>813</v>
      </c>
      <c r="K241" t="s">
        <v>28</v>
      </c>
      <c r="L241" s="2">
        <v>37137</v>
      </c>
      <c r="M241" t="s">
        <v>12</v>
      </c>
    </row>
    <row r="242" spans="1:13" x14ac:dyDescent="0.2">
      <c r="A242" s="66"/>
      <c r="B242" s="53">
        <v>11871782</v>
      </c>
      <c r="C242" t="s">
        <v>248</v>
      </c>
      <c r="D242" t="s">
        <v>0</v>
      </c>
      <c r="E242" s="44">
        <v>41</v>
      </c>
      <c r="F242" s="51" t="s">
        <v>769</v>
      </c>
      <c r="G242" s="1">
        <v>13035</v>
      </c>
      <c r="H242" t="s">
        <v>4</v>
      </c>
      <c r="I242" t="s">
        <v>31</v>
      </c>
      <c r="J242" s="50" t="s">
        <v>813</v>
      </c>
      <c r="K242" t="s">
        <v>28</v>
      </c>
      <c r="L242" s="2">
        <v>37803</v>
      </c>
      <c r="M242" t="s">
        <v>48</v>
      </c>
    </row>
    <row r="243" spans="1:13" x14ac:dyDescent="0.2">
      <c r="A243" s="66"/>
      <c r="B243" s="53">
        <v>13798792</v>
      </c>
      <c r="C243" t="s">
        <v>362</v>
      </c>
      <c r="D243" t="s">
        <v>0</v>
      </c>
      <c r="E243" s="44">
        <v>38</v>
      </c>
      <c r="F243" s="51" t="s">
        <v>769</v>
      </c>
      <c r="G243" s="1">
        <v>13095</v>
      </c>
      <c r="H243" t="s">
        <v>4</v>
      </c>
      <c r="I243" t="s">
        <v>34</v>
      </c>
      <c r="J243" s="50" t="s">
        <v>813</v>
      </c>
      <c r="K243" t="s">
        <v>28</v>
      </c>
      <c r="L243" s="2">
        <v>37803</v>
      </c>
      <c r="M243" t="s">
        <v>48</v>
      </c>
    </row>
    <row r="244" spans="1:13" x14ac:dyDescent="0.2">
      <c r="A244" s="66"/>
      <c r="B244" s="53">
        <v>12578597</v>
      </c>
      <c r="C244" t="s">
        <v>300</v>
      </c>
      <c r="D244" t="s">
        <v>0</v>
      </c>
      <c r="E244" s="44">
        <v>42</v>
      </c>
      <c r="F244" s="51" t="s">
        <v>769</v>
      </c>
      <c r="G244" s="1">
        <v>9753</v>
      </c>
      <c r="H244" t="s">
        <v>4</v>
      </c>
      <c r="I244" t="s">
        <v>34</v>
      </c>
      <c r="J244" s="50" t="s">
        <v>813</v>
      </c>
      <c r="K244" t="s">
        <v>28</v>
      </c>
      <c r="L244" s="2">
        <v>37987</v>
      </c>
      <c r="M244" t="s">
        <v>12</v>
      </c>
    </row>
    <row r="245" spans="1:13" x14ac:dyDescent="0.2">
      <c r="A245" s="66"/>
      <c r="B245" s="53">
        <v>16055187</v>
      </c>
      <c r="C245" t="s">
        <v>462</v>
      </c>
      <c r="D245" t="s">
        <v>0</v>
      </c>
      <c r="E245" s="44">
        <v>32</v>
      </c>
      <c r="F245" s="51" t="s">
        <v>769</v>
      </c>
      <c r="G245" s="1">
        <v>24065</v>
      </c>
      <c r="H245" t="s">
        <v>1</v>
      </c>
      <c r="I245" t="s">
        <v>27</v>
      </c>
      <c r="J245" s="50" t="s">
        <v>813</v>
      </c>
      <c r="K245" t="s">
        <v>28</v>
      </c>
      <c r="L245" s="2">
        <v>37991</v>
      </c>
      <c r="M245" t="s">
        <v>15</v>
      </c>
    </row>
    <row r="246" spans="1:13" x14ac:dyDescent="0.2">
      <c r="A246" s="66"/>
      <c r="B246" s="53">
        <v>13358448</v>
      </c>
      <c r="C246" t="s">
        <v>331</v>
      </c>
      <c r="D246" t="s">
        <v>0</v>
      </c>
      <c r="E246" s="44">
        <v>37</v>
      </c>
      <c r="F246" s="51" t="s">
        <v>769</v>
      </c>
      <c r="G246" s="1">
        <v>13035</v>
      </c>
      <c r="H246" t="s">
        <v>4</v>
      </c>
      <c r="I246" t="s">
        <v>34</v>
      </c>
      <c r="J246" s="50" t="s">
        <v>813</v>
      </c>
      <c r="K246" t="s">
        <v>28</v>
      </c>
      <c r="L246" s="2">
        <v>37991</v>
      </c>
      <c r="M246" t="s">
        <v>48</v>
      </c>
    </row>
    <row r="247" spans="1:13" x14ac:dyDescent="0.2">
      <c r="A247" s="66"/>
      <c r="B247" s="53">
        <v>13369659</v>
      </c>
      <c r="C247" t="s">
        <v>336</v>
      </c>
      <c r="D247" t="s">
        <v>0</v>
      </c>
      <c r="E247" s="44">
        <v>38</v>
      </c>
      <c r="F247" s="51" t="s">
        <v>769</v>
      </c>
      <c r="G247" s="1">
        <v>9628</v>
      </c>
      <c r="H247" t="s">
        <v>4</v>
      </c>
      <c r="I247" t="s">
        <v>34</v>
      </c>
      <c r="J247" s="50" t="s">
        <v>813</v>
      </c>
      <c r="K247" t="s">
        <v>28</v>
      </c>
      <c r="L247" s="2">
        <v>37991</v>
      </c>
      <c r="M247" t="s">
        <v>12</v>
      </c>
    </row>
    <row r="248" spans="1:13" x14ac:dyDescent="0.2">
      <c r="A248" s="66"/>
      <c r="B248" s="53">
        <v>16489372</v>
      </c>
      <c r="C248" t="s">
        <v>484</v>
      </c>
      <c r="D248" t="s">
        <v>0</v>
      </c>
      <c r="E248" s="44">
        <v>32</v>
      </c>
      <c r="F248" s="51" t="s">
        <v>769</v>
      </c>
      <c r="G248" s="1">
        <v>13035</v>
      </c>
      <c r="H248" t="s">
        <v>4</v>
      </c>
      <c r="I248" t="s">
        <v>46</v>
      </c>
      <c r="J248" s="50" t="s">
        <v>813</v>
      </c>
      <c r="K248" t="s">
        <v>28</v>
      </c>
      <c r="L248" s="2">
        <v>37991</v>
      </c>
      <c r="M248" t="s">
        <v>48</v>
      </c>
    </row>
    <row r="249" spans="1:13" x14ac:dyDescent="0.2">
      <c r="A249" s="66"/>
      <c r="B249" s="53">
        <v>15718930</v>
      </c>
      <c r="C249" t="s">
        <v>453</v>
      </c>
      <c r="D249" t="s">
        <v>0</v>
      </c>
      <c r="E249" s="44">
        <v>35</v>
      </c>
      <c r="F249" s="51" t="s">
        <v>769</v>
      </c>
      <c r="G249" s="1">
        <v>9581</v>
      </c>
      <c r="H249" t="s">
        <v>4</v>
      </c>
      <c r="I249" t="s">
        <v>31</v>
      </c>
      <c r="J249" s="50" t="s">
        <v>813</v>
      </c>
      <c r="K249" t="s">
        <v>28</v>
      </c>
      <c r="L249" s="2">
        <v>38189</v>
      </c>
      <c r="M249" t="s">
        <v>12</v>
      </c>
    </row>
    <row r="250" spans="1:13" x14ac:dyDescent="0.2">
      <c r="A250" s="66"/>
      <c r="B250" s="53">
        <v>12635573</v>
      </c>
      <c r="C250" t="s">
        <v>304</v>
      </c>
      <c r="D250" t="s">
        <v>0</v>
      </c>
      <c r="E250" s="44">
        <v>38</v>
      </c>
      <c r="F250" s="51" t="s">
        <v>769</v>
      </c>
      <c r="G250" s="1">
        <v>13035</v>
      </c>
      <c r="H250" t="s">
        <v>4</v>
      </c>
      <c r="I250" t="s">
        <v>5</v>
      </c>
      <c r="J250" s="50" t="s">
        <v>813</v>
      </c>
      <c r="K250" t="s">
        <v>28</v>
      </c>
      <c r="L250" s="2">
        <v>38467</v>
      </c>
      <c r="M250" t="s">
        <v>48</v>
      </c>
    </row>
    <row r="251" spans="1:13" x14ac:dyDescent="0.2">
      <c r="A251" s="66"/>
      <c r="B251" s="53">
        <v>15112835</v>
      </c>
      <c r="C251" t="s">
        <v>432</v>
      </c>
      <c r="D251" t="s">
        <v>0</v>
      </c>
      <c r="E251" s="44">
        <v>34</v>
      </c>
      <c r="F251" s="51" t="s">
        <v>769</v>
      </c>
      <c r="G251" s="1">
        <v>9575</v>
      </c>
      <c r="H251" t="s">
        <v>4</v>
      </c>
      <c r="I251" t="s">
        <v>46</v>
      </c>
      <c r="J251" s="50" t="s">
        <v>813</v>
      </c>
      <c r="K251" t="s">
        <v>28</v>
      </c>
      <c r="L251" s="2">
        <v>38980</v>
      </c>
      <c r="M251" t="s">
        <v>12</v>
      </c>
    </row>
    <row r="252" spans="1:13" x14ac:dyDescent="0.2">
      <c r="A252" s="66"/>
      <c r="B252" s="53">
        <v>16895006</v>
      </c>
      <c r="C252" t="s">
        <v>502</v>
      </c>
      <c r="D252" t="s">
        <v>0</v>
      </c>
      <c r="E252" s="44">
        <v>30</v>
      </c>
      <c r="F252" s="51" t="s">
        <v>769</v>
      </c>
      <c r="G252" s="1">
        <v>36245</v>
      </c>
      <c r="H252" t="s">
        <v>1</v>
      </c>
      <c r="I252" t="s">
        <v>2</v>
      </c>
      <c r="J252" s="50" t="s">
        <v>813</v>
      </c>
      <c r="K252" t="s">
        <v>28</v>
      </c>
      <c r="L252" s="2">
        <v>39630</v>
      </c>
      <c r="M252" t="s">
        <v>272</v>
      </c>
    </row>
    <row r="253" spans="1:13" x14ac:dyDescent="0.2">
      <c r="A253" s="66"/>
      <c r="B253" s="53">
        <v>17840393</v>
      </c>
      <c r="C253" t="s">
        <v>535</v>
      </c>
      <c r="D253" t="s">
        <v>0</v>
      </c>
      <c r="E253" s="44">
        <v>29</v>
      </c>
      <c r="F253" s="51" t="s">
        <v>769</v>
      </c>
      <c r="G253" s="1">
        <v>9275</v>
      </c>
      <c r="H253" t="s">
        <v>4</v>
      </c>
      <c r="I253" t="s">
        <v>34</v>
      </c>
      <c r="J253" s="50" t="s">
        <v>813</v>
      </c>
      <c r="K253" t="s">
        <v>28</v>
      </c>
      <c r="L253" s="2">
        <v>40576</v>
      </c>
      <c r="M253" t="s">
        <v>12</v>
      </c>
    </row>
    <row r="254" spans="1:13" x14ac:dyDescent="0.2">
      <c r="A254" s="66"/>
      <c r="B254" s="53">
        <v>18590967</v>
      </c>
      <c r="C254" t="s">
        <v>429</v>
      </c>
      <c r="D254" t="s">
        <v>0</v>
      </c>
      <c r="E254" s="44">
        <v>34</v>
      </c>
      <c r="F254" s="51" t="s">
        <v>769</v>
      </c>
      <c r="G254" s="1">
        <v>9275</v>
      </c>
      <c r="H254" t="s">
        <v>4</v>
      </c>
      <c r="I254" t="s">
        <v>46</v>
      </c>
      <c r="J254" s="50" t="s">
        <v>813</v>
      </c>
      <c r="K254" t="s">
        <v>28</v>
      </c>
      <c r="L254" s="2">
        <v>40634</v>
      </c>
      <c r="M254" t="s">
        <v>12</v>
      </c>
    </row>
    <row r="255" spans="1:13" x14ac:dyDescent="0.2">
      <c r="A255" s="66"/>
      <c r="B255" s="53">
        <v>6202431</v>
      </c>
      <c r="C255" t="s">
        <v>63</v>
      </c>
      <c r="D255" t="s">
        <v>0</v>
      </c>
      <c r="E255" s="44">
        <v>48</v>
      </c>
      <c r="F255" s="51" t="s">
        <v>769</v>
      </c>
      <c r="G255" s="1">
        <v>13095</v>
      </c>
      <c r="H255" t="s">
        <v>4</v>
      </c>
      <c r="I255" t="s">
        <v>5</v>
      </c>
      <c r="J255" s="50" t="s">
        <v>813</v>
      </c>
      <c r="K255" t="s">
        <v>28</v>
      </c>
      <c r="L255" s="2">
        <v>40710</v>
      </c>
      <c r="M255" t="s">
        <v>48</v>
      </c>
    </row>
    <row r="256" spans="1:13" x14ac:dyDescent="0.2">
      <c r="A256" s="66"/>
      <c r="B256" s="53">
        <v>8504243</v>
      </c>
      <c r="C256" t="s">
        <v>162</v>
      </c>
      <c r="D256" t="s">
        <v>0</v>
      </c>
      <c r="E256" s="44">
        <v>47</v>
      </c>
      <c r="F256" s="51" t="s">
        <v>769</v>
      </c>
      <c r="G256" s="1">
        <v>13035</v>
      </c>
      <c r="H256" t="s">
        <v>4</v>
      </c>
      <c r="I256" t="s">
        <v>34</v>
      </c>
      <c r="J256" s="50" t="s">
        <v>813</v>
      </c>
      <c r="K256" s="36" t="s">
        <v>28</v>
      </c>
      <c r="L256" s="2">
        <v>40710</v>
      </c>
      <c r="M256" s="36" t="s">
        <v>48</v>
      </c>
    </row>
    <row r="257" spans="1:13" x14ac:dyDescent="0.2">
      <c r="A257" s="66"/>
      <c r="B257" s="53">
        <v>13908883</v>
      </c>
      <c r="C257" t="s">
        <v>363</v>
      </c>
      <c r="D257" t="s">
        <v>0</v>
      </c>
      <c r="E257" s="44">
        <v>37</v>
      </c>
      <c r="F257" s="51" t="s">
        <v>769</v>
      </c>
      <c r="G257" s="1">
        <v>9025</v>
      </c>
      <c r="H257" t="s">
        <v>4</v>
      </c>
      <c r="I257" t="s">
        <v>34</v>
      </c>
      <c r="J257" s="50" t="s">
        <v>813</v>
      </c>
      <c r="K257" t="s">
        <v>28</v>
      </c>
      <c r="L257" s="2">
        <v>40868</v>
      </c>
      <c r="M257" t="s">
        <v>12</v>
      </c>
    </row>
    <row r="258" spans="1:13" x14ac:dyDescent="0.2">
      <c r="A258" s="66"/>
      <c r="B258" s="53">
        <v>15289617</v>
      </c>
      <c r="C258" t="s">
        <v>441</v>
      </c>
      <c r="D258" t="s">
        <v>0</v>
      </c>
      <c r="E258" s="44">
        <v>35</v>
      </c>
      <c r="F258" s="51" t="s">
        <v>769</v>
      </c>
      <c r="G258" s="1">
        <v>9025</v>
      </c>
      <c r="H258" t="s">
        <v>4</v>
      </c>
      <c r="I258" t="s">
        <v>46</v>
      </c>
      <c r="J258" s="50" t="s">
        <v>813</v>
      </c>
      <c r="K258" t="s">
        <v>28</v>
      </c>
      <c r="L258" s="2">
        <v>40868</v>
      </c>
      <c r="M258" t="s">
        <v>12</v>
      </c>
    </row>
    <row r="259" spans="1:13" x14ac:dyDescent="0.2">
      <c r="A259" s="66"/>
      <c r="B259" s="53">
        <v>15740601</v>
      </c>
      <c r="C259" t="s">
        <v>454</v>
      </c>
      <c r="D259" t="s">
        <v>0</v>
      </c>
      <c r="E259" s="44">
        <v>34</v>
      </c>
      <c r="F259" s="51" t="s">
        <v>769</v>
      </c>
      <c r="G259" s="1">
        <v>9025</v>
      </c>
      <c r="H259" t="s">
        <v>4</v>
      </c>
      <c r="I259" t="s">
        <v>5</v>
      </c>
      <c r="J259" s="50" t="s">
        <v>813</v>
      </c>
      <c r="K259" t="s">
        <v>28</v>
      </c>
      <c r="L259" s="2">
        <v>40868</v>
      </c>
      <c r="M259" t="s">
        <v>12</v>
      </c>
    </row>
    <row r="260" spans="1:13" x14ac:dyDescent="0.2">
      <c r="A260" s="66"/>
      <c r="B260" s="53">
        <v>17212215</v>
      </c>
      <c r="C260" t="s">
        <v>508</v>
      </c>
      <c r="D260" t="s">
        <v>0</v>
      </c>
      <c r="E260" s="44">
        <v>29</v>
      </c>
      <c r="F260" s="51" t="s">
        <v>769</v>
      </c>
      <c r="G260" s="1">
        <v>9025</v>
      </c>
      <c r="H260" t="s">
        <v>4</v>
      </c>
      <c r="I260" t="s">
        <v>46</v>
      </c>
      <c r="J260" s="50" t="s">
        <v>813</v>
      </c>
      <c r="K260" t="s">
        <v>28</v>
      </c>
      <c r="L260" s="2">
        <v>40868</v>
      </c>
      <c r="M260" t="s">
        <v>12</v>
      </c>
    </row>
    <row r="261" spans="1:13" x14ac:dyDescent="0.2">
      <c r="A261" s="66"/>
      <c r="B261" s="53">
        <v>17730459</v>
      </c>
      <c r="C261" t="s">
        <v>533</v>
      </c>
      <c r="D261" t="s">
        <v>0</v>
      </c>
      <c r="E261" s="44">
        <v>29</v>
      </c>
      <c r="F261" s="51" t="s">
        <v>769</v>
      </c>
      <c r="G261" s="1">
        <v>9025</v>
      </c>
      <c r="H261" t="s">
        <v>4</v>
      </c>
      <c r="I261" t="s">
        <v>31</v>
      </c>
      <c r="J261" s="50" t="s">
        <v>813</v>
      </c>
      <c r="K261" t="s">
        <v>28</v>
      </c>
      <c r="L261" s="2">
        <v>40868</v>
      </c>
      <c r="M261" t="s">
        <v>12</v>
      </c>
    </row>
    <row r="262" spans="1:13" x14ac:dyDescent="0.2">
      <c r="A262" s="66"/>
      <c r="B262" s="53">
        <v>20171985</v>
      </c>
      <c r="C262" t="s">
        <v>582</v>
      </c>
      <c r="D262" t="s">
        <v>0</v>
      </c>
      <c r="E262" s="44">
        <v>24</v>
      </c>
      <c r="F262" s="51" t="s">
        <v>769</v>
      </c>
      <c r="G262" s="1">
        <v>9025</v>
      </c>
      <c r="H262" t="s">
        <v>4</v>
      </c>
      <c r="I262" t="s">
        <v>31</v>
      </c>
      <c r="J262" s="50" t="s">
        <v>813</v>
      </c>
      <c r="K262" t="s">
        <v>28</v>
      </c>
      <c r="L262" s="2">
        <v>40868</v>
      </c>
      <c r="M262" t="s">
        <v>12</v>
      </c>
    </row>
    <row r="263" spans="1:13" x14ac:dyDescent="0.2">
      <c r="A263" s="66"/>
      <c r="B263" s="53">
        <v>23653621</v>
      </c>
      <c r="C263" t="s">
        <v>667</v>
      </c>
      <c r="D263" t="s">
        <v>0</v>
      </c>
      <c r="E263" s="44">
        <v>23</v>
      </c>
      <c r="F263" s="51" t="s">
        <v>769</v>
      </c>
      <c r="G263" s="1">
        <v>9025</v>
      </c>
      <c r="H263" t="s">
        <v>4</v>
      </c>
      <c r="I263" t="s">
        <v>46</v>
      </c>
      <c r="J263" s="50" t="s">
        <v>813</v>
      </c>
      <c r="K263" s="45" t="s">
        <v>28</v>
      </c>
      <c r="L263" s="2">
        <v>40924</v>
      </c>
      <c r="M263" t="s">
        <v>12</v>
      </c>
    </row>
    <row r="264" spans="1:13" x14ac:dyDescent="0.2">
      <c r="A264" s="66"/>
      <c r="B264" s="53">
        <v>15361267</v>
      </c>
      <c r="C264" t="s">
        <v>755</v>
      </c>
      <c r="D264" t="s">
        <v>0</v>
      </c>
      <c r="E264" s="44">
        <v>32</v>
      </c>
      <c r="F264" s="51" t="s">
        <v>768</v>
      </c>
      <c r="G264" s="1">
        <v>8535</v>
      </c>
      <c r="H264" t="s">
        <v>4</v>
      </c>
      <c r="I264" t="s">
        <v>46</v>
      </c>
      <c r="J264" s="50" t="s">
        <v>813</v>
      </c>
      <c r="K264" t="s">
        <v>28</v>
      </c>
      <c r="L264" s="2">
        <v>42037</v>
      </c>
      <c r="M264" t="s">
        <v>12</v>
      </c>
    </row>
    <row r="265" spans="1:13" x14ac:dyDescent="0.2">
      <c r="A265" s="66"/>
      <c r="B265" s="53">
        <v>15973370</v>
      </c>
      <c r="C265" t="s">
        <v>763</v>
      </c>
      <c r="D265" t="s">
        <v>0</v>
      </c>
      <c r="E265" s="44">
        <v>34</v>
      </c>
      <c r="F265" s="51" t="s">
        <v>768</v>
      </c>
      <c r="G265" s="1">
        <v>8535</v>
      </c>
      <c r="H265" t="s">
        <v>4</v>
      </c>
      <c r="I265" t="s">
        <v>5</v>
      </c>
      <c r="J265" s="50" t="s">
        <v>813</v>
      </c>
      <c r="K265" s="45" t="s">
        <v>28</v>
      </c>
      <c r="L265" s="2">
        <v>42079</v>
      </c>
      <c r="M265" t="s">
        <v>12</v>
      </c>
    </row>
    <row r="266" spans="1:13" x14ac:dyDescent="0.2">
      <c r="A266" s="66"/>
      <c r="B266" s="53">
        <v>19457165</v>
      </c>
      <c r="C266" t="s">
        <v>575</v>
      </c>
      <c r="D266" t="s">
        <v>0</v>
      </c>
      <c r="E266" s="44">
        <v>25</v>
      </c>
      <c r="F266" s="51" t="s">
        <v>769</v>
      </c>
      <c r="G266" s="1">
        <v>9275</v>
      </c>
      <c r="H266" t="s">
        <v>4</v>
      </c>
      <c r="I266" t="s">
        <v>34</v>
      </c>
      <c r="J266" s="50" t="s">
        <v>813</v>
      </c>
      <c r="K266" t="s">
        <v>28</v>
      </c>
      <c r="L266" s="2">
        <v>40710</v>
      </c>
      <c r="M266" t="s">
        <v>353</v>
      </c>
    </row>
    <row r="267" spans="1:13" x14ac:dyDescent="0.2">
      <c r="A267" s="66"/>
      <c r="B267" s="53">
        <v>7627256</v>
      </c>
      <c r="C267" t="s">
        <v>89</v>
      </c>
      <c r="D267" t="s">
        <v>0</v>
      </c>
      <c r="E267" s="44">
        <v>55</v>
      </c>
      <c r="F267" s="51" t="s">
        <v>769</v>
      </c>
      <c r="G267" s="1">
        <v>24345</v>
      </c>
      <c r="H267" t="s">
        <v>1</v>
      </c>
      <c r="I267" t="s">
        <v>3</v>
      </c>
      <c r="J267" s="50" t="s">
        <v>813</v>
      </c>
      <c r="K267" t="s">
        <v>798</v>
      </c>
      <c r="L267" s="2">
        <v>36331</v>
      </c>
      <c r="M267" t="s">
        <v>15</v>
      </c>
    </row>
    <row r="268" spans="1:13" x14ac:dyDescent="0.2">
      <c r="A268" s="66"/>
      <c r="B268" s="53">
        <v>7717970</v>
      </c>
      <c r="C268" t="s">
        <v>92</v>
      </c>
      <c r="D268" t="s">
        <v>0</v>
      </c>
      <c r="E268" s="44">
        <v>54</v>
      </c>
      <c r="F268" s="51" t="s">
        <v>769</v>
      </c>
      <c r="G268" s="1">
        <v>24960</v>
      </c>
      <c r="H268" t="s">
        <v>1</v>
      </c>
      <c r="I268" t="s">
        <v>10</v>
      </c>
      <c r="J268" s="50" t="s">
        <v>813</v>
      </c>
      <c r="K268" t="s">
        <v>798</v>
      </c>
      <c r="L268" s="2">
        <v>36374</v>
      </c>
      <c r="M268" t="s">
        <v>15</v>
      </c>
    </row>
    <row r="269" spans="1:13" x14ac:dyDescent="0.2">
      <c r="A269" s="66"/>
      <c r="B269" s="53">
        <v>5595512</v>
      </c>
      <c r="C269" t="s">
        <v>55</v>
      </c>
      <c r="D269" t="s">
        <v>0</v>
      </c>
      <c r="E269" s="44">
        <v>55</v>
      </c>
      <c r="F269" s="51" t="s">
        <v>769</v>
      </c>
      <c r="G269" s="1">
        <v>10014</v>
      </c>
      <c r="H269" t="s">
        <v>4</v>
      </c>
      <c r="I269" t="s">
        <v>31</v>
      </c>
      <c r="J269" s="50" t="s">
        <v>813</v>
      </c>
      <c r="K269" t="s">
        <v>798</v>
      </c>
      <c r="L269" s="2">
        <v>36465</v>
      </c>
      <c r="M269" t="s">
        <v>12</v>
      </c>
    </row>
    <row r="270" spans="1:13" x14ac:dyDescent="0.2">
      <c r="A270" s="66"/>
      <c r="B270" s="53">
        <v>7299284</v>
      </c>
      <c r="C270" t="s">
        <v>86</v>
      </c>
      <c r="D270" t="s">
        <v>0</v>
      </c>
      <c r="E270" s="44">
        <v>50</v>
      </c>
      <c r="F270" s="51" t="s">
        <v>769</v>
      </c>
      <c r="G270" s="1">
        <v>10017</v>
      </c>
      <c r="H270" t="s">
        <v>4</v>
      </c>
      <c r="I270" t="s">
        <v>46</v>
      </c>
      <c r="J270" s="50" t="s">
        <v>813</v>
      </c>
      <c r="K270" t="s">
        <v>798</v>
      </c>
      <c r="L270" s="2">
        <v>36465</v>
      </c>
      <c r="M270" t="s">
        <v>12</v>
      </c>
    </row>
    <row r="271" spans="1:13" x14ac:dyDescent="0.2">
      <c r="A271" s="66"/>
      <c r="B271" s="53">
        <v>10158319</v>
      </c>
      <c r="C271" t="s">
        <v>194</v>
      </c>
      <c r="D271" t="s">
        <v>0</v>
      </c>
      <c r="E271" s="44">
        <v>45</v>
      </c>
      <c r="F271" s="51" t="s">
        <v>769</v>
      </c>
      <c r="G271" s="1">
        <v>9978</v>
      </c>
      <c r="H271" t="s">
        <v>4</v>
      </c>
      <c r="I271" t="s">
        <v>5</v>
      </c>
      <c r="J271" s="50" t="s">
        <v>813</v>
      </c>
      <c r="K271" t="s">
        <v>798</v>
      </c>
      <c r="L271" s="2">
        <v>36465</v>
      </c>
      <c r="M271" t="s">
        <v>12</v>
      </c>
    </row>
    <row r="272" spans="1:13" x14ac:dyDescent="0.2">
      <c r="A272" s="66"/>
      <c r="B272" s="53">
        <v>13932103</v>
      </c>
      <c r="C272" t="s">
        <v>365</v>
      </c>
      <c r="D272" t="s">
        <v>0</v>
      </c>
      <c r="E272" s="44">
        <v>36</v>
      </c>
      <c r="F272" s="51" t="s">
        <v>769</v>
      </c>
      <c r="G272" s="1">
        <v>43090</v>
      </c>
      <c r="H272" t="s">
        <v>1</v>
      </c>
      <c r="I272" t="s">
        <v>2</v>
      </c>
      <c r="J272" s="50" t="s">
        <v>813</v>
      </c>
      <c r="K272" t="s">
        <v>798</v>
      </c>
      <c r="L272" s="2">
        <v>36773</v>
      </c>
      <c r="M272" t="s">
        <v>819</v>
      </c>
    </row>
    <row r="273" spans="1:13" x14ac:dyDescent="0.2">
      <c r="A273" s="66"/>
      <c r="B273" s="53">
        <v>11457177</v>
      </c>
      <c r="C273" t="s">
        <v>233</v>
      </c>
      <c r="D273" t="s">
        <v>0</v>
      </c>
      <c r="E273" s="44">
        <v>44</v>
      </c>
      <c r="F273" s="51" t="s">
        <v>769</v>
      </c>
      <c r="G273" s="1">
        <v>9691</v>
      </c>
      <c r="H273" t="s">
        <v>4</v>
      </c>
      <c r="I273" t="s">
        <v>5</v>
      </c>
      <c r="J273" s="50" t="s">
        <v>813</v>
      </c>
      <c r="K273" t="s">
        <v>798</v>
      </c>
      <c r="L273" s="2">
        <v>37839</v>
      </c>
      <c r="M273" t="s">
        <v>12</v>
      </c>
    </row>
    <row r="274" spans="1:13" x14ac:dyDescent="0.2">
      <c r="A274" s="66"/>
      <c r="B274" s="53">
        <v>12291964</v>
      </c>
      <c r="C274" t="s">
        <v>279</v>
      </c>
      <c r="D274" t="s">
        <v>0</v>
      </c>
      <c r="E274" s="44">
        <v>38</v>
      </c>
      <c r="F274" s="51" t="s">
        <v>769</v>
      </c>
      <c r="G274" s="1">
        <v>22485</v>
      </c>
      <c r="H274" t="s">
        <v>1</v>
      </c>
      <c r="I274" t="s">
        <v>27</v>
      </c>
      <c r="J274" s="50" t="s">
        <v>813</v>
      </c>
      <c r="K274" t="s">
        <v>798</v>
      </c>
      <c r="L274" s="2">
        <v>37991</v>
      </c>
      <c r="M274" t="s">
        <v>15</v>
      </c>
    </row>
    <row r="275" spans="1:13" x14ac:dyDescent="0.2">
      <c r="A275" s="66"/>
      <c r="B275" s="53">
        <v>7825551</v>
      </c>
      <c r="C275" t="s">
        <v>97</v>
      </c>
      <c r="D275" t="s">
        <v>0</v>
      </c>
      <c r="E275" s="44">
        <v>50</v>
      </c>
      <c r="F275" s="51" t="s">
        <v>769</v>
      </c>
      <c r="G275" s="1">
        <v>9853</v>
      </c>
      <c r="H275" t="s">
        <v>4</v>
      </c>
      <c r="I275" t="s">
        <v>34</v>
      </c>
      <c r="J275" s="50" t="s">
        <v>813</v>
      </c>
      <c r="K275" t="s">
        <v>798</v>
      </c>
      <c r="L275" s="2">
        <v>37991</v>
      </c>
      <c r="M275" t="s">
        <v>12</v>
      </c>
    </row>
    <row r="276" spans="1:13" x14ac:dyDescent="0.2">
      <c r="A276" s="66"/>
      <c r="B276" s="53">
        <v>14280260</v>
      </c>
      <c r="C276" t="s">
        <v>392</v>
      </c>
      <c r="D276" t="s">
        <v>0</v>
      </c>
      <c r="E276" s="44">
        <v>36</v>
      </c>
      <c r="F276" s="51" t="s">
        <v>769</v>
      </c>
      <c r="G276" s="1">
        <v>22485</v>
      </c>
      <c r="H276" t="s">
        <v>1</v>
      </c>
      <c r="I276" t="s">
        <v>8</v>
      </c>
      <c r="J276" s="50" t="s">
        <v>813</v>
      </c>
      <c r="K276" t="s">
        <v>798</v>
      </c>
      <c r="L276" s="2">
        <v>38353</v>
      </c>
      <c r="M276" t="s">
        <v>15</v>
      </c>
    </row>
    <row r="277" spans="1:13" x14ac:dyDescent="0.2">
      <c r="A277" s="66"/>
      <c r="B277" s="53">
        <v>6880197</v>
      </c>
      <c r="C277" t="s">
        <v>78</v>
      </c>
      <c r="D277" t="s">
        <v>0</v>
      </c>
      <c r="E277" s="44">
        <v>50</v>
      </c>
      <c r="F277" s="51" t="s">
        <v>769</v>
      </c>
      <c r="G277" s="1">
        <v>9461</v>
      </c>
      <c r="H277" t="s">
        <v>4</v>
      </c>
      <c r="I277" t="s">
        <v>2</v>
      </c>
      <c r="J277" s="50" t="s">
        <v>813</v>
      </c>
      <c r="K277" t="s">
        <v>798</v>
      </c>
      <c r="L277" s="2">
        <v>38353</v>
      </c>
      <c r="M277" t="s">
        <v>79</v>
      </c>
    </row>
    <row r="278" spans="1:13" x14ac:dyDescent="0.2">
      <c r="A278" s="66"/>
      <c r="B278" s="53">
        <v>8264958</v>
      </c>
      <c r="C278" t="s">
        <v>119</v>
      </c>
      <c r="D278" t="s">
        <v>0</v>
      </c>
      <c r="E278" s="44">
        <v>52</v>
      </c>
      <c r="F278" s="51" t="s">
        <v>769</v>
      </c>
      <c r="G278" s="1">
        <v>9461</v>
      </c>
      <c r="H278" t="s">
        <v>4</v>
      </c>
      <c r="I278" t="s">
        <v>2</v>
      </c>
      <c r="J278" s="50" t="s">
        <v>813</v>
      </c>
      <c r="K278" t="s">
        <v>798</v>
      </c>
      <c r="L278" s="2">
        <v>38353</v>
      </c>
      <c r="M278" t="s">
        <v>79</v>
      </c>
    </row>
    <row r="279" spans="1:13" x14ac:dyDescent="0.2">
      <c r="A279" s="66"/>
      <c r="B279" s="53">
        <v>11744351</v>
      </c>
      <c r="C279" t="s">
        <v>239</v>
      </c>
      <c r="D279" t="s">
        <v>0</v>
      </c>
      <c r="E279" s="44">
        <v>42</v>
      </c>
      <c r="F279" s="51" t="s">
        <v>769</v>
      </c>
      <c r="G279" s="1">
        <v>9731</v>
      </c>
      <c r="H279" t="s">
        <v>4</v>
      </c>
      <c r="I279" t="s">
        <v>2</v>
      </c>
      <c r="J279" s="50" t="s">
        <v>813</v>
      </c>
      <c r="K279" t="s">
        <v>798</v>
      </c>
      <c r="L279" s="2">
        <v>38479</v>
      </c>
      <c r="M279" t="s">
        <v>240</v>
      </c>
    </row>
    <row r="280" spans="1:13" x14ac:dyDescent="0.2">
      <c r="A280" s="66"/>
      <c r="B280" s="53">
        <v>13316899</v>
      </c>
      <c r="C280" t="s">
        <v>328</v>
      </c>
      <c r="D280" t="s">
        <v>0</v>
      </c>
      <c r="E280" s="44">
        <v>38</v>
      </c>
      <c r="F280" s="51" t="s">
        <v>769</v>
      </c>
      <c r="G280" s="1">
        <v>8925</v>
      </c>
      <c r="H280" t="s">
        <v>4</v>
      </c>
      <c r="I280" t="s">
        <v>2</v>
      </c>
      <c r="J280" s="50" t="s">
        <v>813</v>
      </c>
      <c r="K280" t="s">
        <v>798</v>
      </c>
      <c r="L280" s="2">
        <v>39934</v>
      </c>
      <c r="M280" t="s">
        <v>79</v>
      </c>
    </row>
    <row r="281" spans="1:13" x14ac:dyDescent="0.2">
      <c r="A281" s="66"/>
      <c r="B281" s="53">
        <v>22570885</v>
      </c>
      <c r="C281" t="s">
        <v>589</v>
      </c>
      <c r="D281" t="s">
        <v>0</v>
      </c>
      <c r="E281" s="44">
        <v>25</v>
      </c>
      <c r="F281" s="51" t="s">
        <v>769</v>
      </c>
      <c r="G281" s="1">
        <v>9275</v>
      </c>
      <c r="H281" t="s">
        <v>4</v>
      </c>
      <c r="I281" t="s">
        <v>34</v>
      </c>
      <c r="J281" s="50" t="s">
        <v>813</v>
      </c>
      <c r="K281" t="s">
        <v>798</v>
      </c>
      <c r="L281" s="2">
        <v>40576</v>
      </c>
      <c r="M281" t="s">
        <v>12</v>
      </c>
    </row>
    <row r="282" spans="1:13" x14ac:dyDescent="0.2">
      <c r="A282" s="66"/>
      <c r="B282" s="53">
        <v>18847943</v>
      </c>
      <c r="C282" t="s">
        <v>565</v>
      </c>
      <c r="D282" t="s">
        <v>0</v>
      </c>
      <c r="E282" s="44">
        <v>26</v>
      </c>
      <c r="F282" s="51" t="s">
        <v>769</v>
      </c>
      <c r="G282" s="1">
        <v>8925</v>
      </c>
      <c r="H282" t="s">
        <v>4</v>
      </c>
      <c r="I282" t="s">
        <v>2</v>
      </c>
      <c r="J282" s="50" t="s">
        <v>813</v>
      </c>
      <c r="K282" t="s">
        <v>798</v>
      </c>
      <c r="L282" s="2">
        <v>41061</v>
      </c>
      <c r="M282" t="s">
        <v>79</v>
      </c>
    </row>
    <row r="283" spans="1:13" x14ac:dyDescent="0.2">
      <c r="A283" s="66"/>
      <c r="B283" s="53">
        <v>21357445</v>
      </c>
      <c r="C283" t="s">
        <v>587</v>
      </c>
      <c r="D283" t="s">
        <v>0</v>
      </c>
      <c r="E283" s="44">
        <v>22</v>
      </c>
      <c r="F283" s="51" t="s">
        <v>769</v>
      </c>
      <c r="G283" s="1">
        <v>8925</v>
      </c>
      <c r="H283" t="s">
        <v>4</v>
      </c>
      <c r="I283" t="s">
        <v>5</v>
      </c>
      <c r="J283" s="50" t="s">
        <v>813</v>
      </c>
      <c r="K283" t="s">
        <v>798</v>
      </c>
      <c r="L283" s="2">
        <v>41061</v>
      </c>
      <c r="M283" t="s">
        <v>79</v>
      </c>
    </row>
    <row r="284" spans="1:13" x14ac:dyDescent="0.2">
      <c r="A284" s="66"/>
      <c r="B284" s="53">
        <v>19073176</v>
      </c>
      <c r="C284" t="s">
        <v>568</v>
      </c>
      <c r="D284" t="s">
        <v>0</v>
      </c>
      <c r="E284" s="44">
        <v>26</v>
      </c>
      <c r="F284" s="51" t="s">
        <v>769</v>
      </c>
      <c r="G284" s="1">
        <v>9025</v>
      </c>
      <c r="H284" t="s">
        <v>4</v>
      </c>
      <c r="I284" t="s">
        <v>31</v>
      </c>
      <c r="J284" s="50" t="s">
        <v>813</v>
      </c>
      <c r="K284" t="s">
        <v>798</v>
      </c>
      <c r="L284" s="2">
        <v>41155</v>
      </c>
      <c r="M284" t="s">
        <v>12</v>
      </c>
    </row>
    <row r="285" spans="1:13" x14ac:dyDescent="0.2">
      <c r="A285" s="66"/>
      <c r="B285" s="53">
        <v>19611822</v>
      </c>
      <c r="C285" t="s">
        <v>578</v>
      </c>
      <c r="D285" t="s">
        <v>0</v>
      </c>
      <c r="E285" s="44">
        <v>25</v>
      </c>
      <c r="F285" s="51" t="s">
        <v>769</v>
      </c>
      <c r="G285" s="1">
        <v>8925</v>
      </c>
      <c r="H285" t="s">
        <v>4</v>
      </c>
      <c r="I285" t="s">
        <v>34</v>
      </c>
      <c r="J285" s="50" t="s">
        <v>813</v>
      </c>
      <c r="K285" t="s">
        <v>798</v>
      </c>
      <c r="L285" s="2">
        <v>41426</v>
      </c>
      <c r="M285" t="s">
        <v>12</v>
      </c>
    </row>
    <row r="286" spans="1:13" x14ac:dyDescent="0.2">
      <c r="A286" s="66"/>
      <c r="B286" s="53">
        <v>18567489</v>
      </c>
      <c r="C286" t="s">
        <v>697</v>
      </c>
      <c r="D286" t="s">
        <v>0</v>
      </c>
      <c r="E286" s="44">
        <v>29</v>
      </c>
      <c r="F286" s="51" t="s">
        <v>769</v>
      </c>
      <c r="G286" s="1">
        <v>8925</v>
      </c>
      <c r="H286" t="s">
        <v>4</v>
      </c>
      <c r="I286" t="s">
        <v>2</v>
      </c>
      <c r="J286" s="50" t="s">
        <v>813</v>
      </c>
      <c r="K286" t="s">
        <v>798</v>
      </c>
      <c r="L286" s="2">
        <v>41852</v>
      </c>
      <c r="M286" t="s">
        <v>79</v>
      </c>
    </row>
    <row r="287" spans="1:13" x14ac:dyDescent="0.2">
      <c r="A287" s="66"/>
      <c r="B287" s="53">
        <v>20873792</v>
      </c>
      <c r="C287" t="s">
        <v>722</v>
      </c>
      <c r="D287" t="s">
        <v>0</v>
      </c>
      <c r="E287" s="44">
        <v>23</v>
      </c>
      <c r="F287" s="51" t="s">
        <v>768</v>
      </c>
      <c r="G287" s="1">
        <v>8925</v>
      </c>
      <c r="H287" t="s">
        <v>4</v>
      </c>
      <c r="I287" t="s">
        <v>2</v>
      </c>
      <c r="J287" s="50" t="s">
        <v>813</v>
      </c>
      <c r="K287" t="s">
        <v>798</v>
      </c>
      <c r="L287" s="2">
        <v>41960</v>
      </c>
      <c r="M287" t="s">
        <v>79</v>
      </c>
    </row>
    <row r="288" spans="1:13" x14ac:dyDescent="0.2">
      <c r="A288" s="66"/>
      <c r="B288" s="53">
        <v>24707300</v>
      </c>
      <c r="C288" t="s">
        <v>723</v>
      </c>
      <c r="D288" t="s">
        <v>0</v>
      </c>
      <c r="E288" s="44">
        <v>21</v>
      </c>
      <c r="F288" s="51" t="s">
        <v>768</v>
      </c>
      <c r="G288" s="1">
        <v>8925</v>
      </c>
      <c r="H288" t="s">
        <v>4</v>
      </c>
      <c r="I288" t="s">
        <v>2</v>
      </c>
      <c r="J288" s="50" t="s">
        <v>813</v>
      </c>
      <c r="K288" s="45" t="s">
        <v>798</v>
      </c>
      <c r="L288" s="2">
        <v>41960</v>
      </c>
      <c r="M288" t="s">
        <v>79</v>
      </c>
    </row>
    <row r="289" spans="1:13" x14ac:dyDescent="0.2">
      <c r="A289" s="66"/>
      <c r="B289" s="53">
        <v>20635074</v>
      </c>
      <c r="C289" t="s">
        <v>761</v>
      </c>
      <c r="D289" t="s">
        <v>0</v>
      </c>
      <c r="E289" s="44">
        <v>24</v>
      </c>
      <c r="F289" s="51" t="s">
        <v>768</v>
      </c>
      <c r="G289" s="1">
        <v>8535</v>
      </c>
      <c r="H289" t="s">
        <v>4</v>
      </c>
      <c r="I289" t="s">
        <v>46</v>
      </c>
      <c r="J289" s="50" t="s">
        <v>813</v>
      </c>
      <c r="K289" t="s">
        <v>798</v>
      </c>
      <c r="L289" s="2">
        <v>42079</v>
      </c>
      <c r="M289" t="s">
        <v>12</v>
      </c>
    </row>
    <row r="290" spans="1:13" x14ac:dyDescent="0.2">
      <c r="A290" s="66"/>
      <c r="B290" s="53">
        <v>21389937</v>
      </c>
      <c r="C290" t="s">
        <v>799</v>
      </c>
      <c r="D290" t="s">
        <v>0</v>
      </c>
      <c r="E290" s="44">
        <v>22</v>
      </c>
      <c r="F290" s="51" t="s">
        <v>768</v>
      </c>
      <c r="G290" s="1">
        <v>8535</v>
      </c>
      <c r="H290" t="s">
        <v>4</v>
      </c>
      <c r="I290" t="s">
        <v>31</v>
      </c>
      <c r="J290" s="50" t="s">
        <v>813</v>
      </c>
      <c r="K290" t="s">
        <v>798</v>
      </c>
      <c r="L290" s="2">
        <v>42128</v>
      </c>
      <c r="M290" t="s">
        <v>12</v>
      </c>
    </row>
    <row r="291" spans="1:13" x14ac:dyDescent="0.2">
      <c r="A291" s="67"/>
      <c r="B291" s="53">
        <v>16180407</v>
      </c>
      <c r="C291" t="s">
        <v>469</v>
      </c>
      <c r="D291" t="s">
        <v>20</v>
      </c>
      <c r="E291" s="44">
        <v>32</v>
      </c>
      <c r="F291" s="51" t="s">
        <v>769</v>
      </c>
      <c r="G291" s="1">
        <v>47440</v>
      </c>
      <c r="H291" t="s">
        <v>1</v>
      </c>
      <c r="I291" t="s">
        <v>2</v>
      </c>
      <c r="J291" s="50" t="s">
        <v>651</v>
      </c>
      <c r="K291" t="s">
        <v>13</v>
      </c>
      <c r="L291" s="2">
        <v>39027</v>
      </c>
      <c r="M291" t="s">
        <v>702</v>
      </c>
    </row>
    <row r="292" spans="1:13" x14ac:dyDescent="0.2">
      <c r="A292" s="66"/>
      <c r="B292" s="53">
        <v>8331518</v>
      </c>
      <c r="C292" t="s">
        <v>151</v>
      </c>
      <c r="D292" t="s">
        <v>20</v>
      </c>
      <c r="E292" s="44">
        <v>52</v>
      </c>
      <c r="F292" s="51" t="s">
        <v>769</v>
      </c>
      <c r="G292" s="1">
        <v>34855</v>
      </c>
      <c r="H292" t="s">
        <v>1</v>
      </c>
      <c r="I292" t="s">
        <v>2</v>
      </c>
      <c r="J292" s="50" t="s">
        <v>651</v>
      </c>
      <c r="K292" t="s">
        <v>54</v>
      </c>
      <c r="L292" s="2">
        <v>36584</v>
      </c>
      <c r="M292" t="s">
        <v>152</v>
      </c>
    </row>
    <row r="293" spans="1:13" x14ac:dyDescent="0.2">
      <c r="A293" s="66"/>
      <c r="B293" s="53">
        <v>12272692</v>
      </c>
      <c r="C293" t="s">
        <v>270</v>
      </c>
      <c r="D293" t="s">
        <v>20</v>
      </c>
      <c r="E293" s="44">
        <v>41</v>
      </c>
      <c r="F293" s="51" t="s">
        <v>769</v>
      </c>
      <c r="G293" s="1">
        <v>10138</v>
      </c>
      <c r="H293" t="s">
        <v>4</v>
      </c>
      <c r="I293" t="s">
        <v>34</v>
      </c>
      <c r="J293" s="50" t="s">
        <v>651</v>
      </c>
      <c r="K293" t="s">
        <v>54</v>
      </c>
      <c r="L293" s="2">
        <v>36591</v>
      </c>
      <c r="M293" t="s">
        <v>141</v>
      </c>
    </row>
    <row r="294" spans="1:13" x14ac:dyDescent="0.2">
      <c r="A294" s="66"/>
      <c r="B294" s="53">
        <v>10461483</v>
      </c>
      <c r="C294" t="s">
        <v>207</v>
      </c>
      <c r="D294" t="s">
        <v>0</v>
      </c>
      <c r="E294" s="44">
        <v>46</v>
      </c>
      <c r="F294" s="51" t="s">
        <v>769</v>
      </c>
      <c r="G294" s="1">
        <v>10130</v>
      </c>
      <c r="H294" t="s">
        <v>4</v>
      </c>
      <c r="I294" t="s">
        <v>5</v>
      </c>
      <c r="J294" s="50" t="s">
        <v>651</v>
      </c>
      <c r="K294" t="s">
        <v>54</v>
      </c>
      <c r="L294" s="2">
        <v>36598</v>
      </c>
      <c r="M294" s="36" t="s">
        <v>141</v>
      </c>
    </row>
    <row r="295" spans="1:13" x14ac:dyDescent="0.2">
      <c r="A295" s="66"/>
      <c r="B295" s="53">
        <v>8635439</v>
      </c>
      <c r="C295" t="s">
        <v>169</v>
      </c>
      <c r="D295" t="s">
        <v>20</v>
      </c>
      <c r="E295" s="44">
        <v>49</v>
      </c>
      <c r="F295" s="51" t="s">
        <v>769</v>
      </c>
      <c r="G295" s="1">
        <v>10002</v>
      </c>
      <c r="H295" t="s">
        <v>4</v>
      </c>
      <c r="I295" t="s">
        <v>46</v>
      </c>
      <c r="J295" s="50" t="s">
        <v>651</v>
      </c>
      <c r="K295" t="s">
        <v>54</v>
      </c>
      <c r="L295" s="2">
        <v>36612</v>
      </c>
      <c r="M295" t="s">
        <v>141</v>
      </c>
    </row>
    <row r="296" spans="1:13" x14ac:dyDescent="0.2">
      <c r="A296" s="66"/>
      <c r="B296" s="53">
        <v>11831203</v>
      </c>
      <c r="C296" t="s">
        <v>246</v>
      </c>
      <c r="D296" t="s">
        <v>0</v>
      </c>
      <c r="E296" s="44">
        <v>40</v>
      </c>
      <c r="F296" s="51" t="s">
        <v>769</v>
      </c>
      <c r="G296" s="1">
        <v>10016</v>
      </c>
      <c r="H296" t="s">
        <v>4</v>
      </c>
      <c r="I296" t="s">
        <v>31</v>
      </c>
      <c r="J296" s="50" t="s">
        <v>651</v>
      </c>
      <c r="K296" t="s">
        <v>54</v>
      </c>
      <c r="L296" s="2">
        <v>36703</v>
      </c>
      <c r="M296" t="s">
        <v>141</v>
      </c>
    </row>
    <row r="297" spans="1:13" x14ac:dyDescent="0.2">
      <c r="A297" s="66"/>
      <c r="B297" s="53">
        <v>12220913</v>
      </c>
      <c r="C297" t="s">
        <v>267</v>
      </c>
      <c r="D297" t="s">
        <v>20</v>
      </c>
      <c r="E297" s="44">
        <v>45</v>
      </c>
      <c r="F297" s="51" t="s">
        <v>769</v>
      </c>
      <c r="G297" s="1">
        <v>9902</v>
      </c>
      <c r="H297" t="s">
        <v>4</v>
      </c>
      <c r="I297" t="s">
        <v>5</v>
      </c>
      <c r="J297" s="50" t="s">
        <v>651</v>
      </c>
      <c r="K297" t="s">
        <v>54</v>
      </c>
      <c r="L297" s="2">
        <v>36860</v>
      </c>
      <c r="M297" t="s">
        <v>141</v>
      </c>
    </row>
    <row r="298" spans="1:13" x14ac:dyDescent="0.2">
      <c r="A298" s="66"/>
      <c r="B298" s="53">
        <v>8498092</v>
      </c>
      <c r="C298" t="s">
        <v>160</v>
      </c>
      <c r="D298" t="s">
        <v>0</v>
      </c>
      <c r="E298" s="44">
        <v>48</v>
      </c>
      <c r="F298" s="51" t="s">
        <v>769</v>
      </c>
      <c r="G298" s="1">
        <v>32805</v>
      </c>
      <c r="H298" t="s">
        <v>1</v>
      </c>
      <c r="I298" t="s">
        <v>2</v>
      </c>
      <c r="J298" s="50" t="s">
        <v>651</v>
      </c>
      <c r="K298" t="s">
        <v>54</v>
      </c>
      <c r="L298" s="2">
        <v>38495</v>
      </c>
      <c r="M298" t="s">
        <v>161</v>
      </c>
    </row>
    <row r="299" spans="1:13" x14ac:dyDescent="0.2">
      <c r="A299" s="66"/>
      <c r="B299" s="53">
        <v>16300273</v>
      </c>
      <c r="C299" t="s">
        <v>474</v>
      </c>
      <c r="D299" t="s">
        <v>0</v>
      </c>
      <c r="E299" s="44">
        <v>32</v>
      </c>
      <c r="F299" s="51" t="s">
        <v>769</v>
      </c>
      <c r="G299" s="1">
        <v>41825</v>
      </c>
      <c r="H299" t="s">
        <v>1</v>
      </c>
      <c r="I299" t="s">
        <v>2</v>
      </c>
      <c r="J299" s="50" t="s">
        <v>651</v>
      </c>
      <c r="K299" t="s">
        <v>54</v>
      </c>
      <c r="L299" s="2">
        <v>39092</v>
      </c>
      <c r="M299" t="s">
        <v>475</v>
      </c>
    </row>
    <row r="300" spans="1:13" x14ac:dyDescent="0.2">
      <c r="A300" s="66"/>
      <c r="B300" s="53">
        <v>15879036</v>
      </c>
      <c r="C300" t="s">
        <v>461</v>
      </c>
      <c r="D300" t="s">
        <v>0</v>
      </c>
      <c r="E300" s="44">
        <v>29</v>
      </c>
      <c r="F300" s="51" t="s">
        <v>769</v>
      </c>
      <c r="G300" s="1">
        <v>9575</v>
      </c>
      <c r="H300" t="s">
        <v>4</v>
      </c>
      <c r="I300" t="s">
        <v>46</v>
      </c>
      <c r="J300" s="50" t="s">
        <v>651</v>
      </c>
      <c r="K300" t="s">
        <v>54</v>
      </c>
      <c r="L300" s="2">
        <v>40634</v>
      </c>
      <c r="M300" t="s">
        <v>141</v>
      </c>
    </row>
    <row r="301" spans="1:13" x14ac:dyDescent="0.2">
      <c r="A301" s="66"/>
      <c r="B301" s="53">
        <v>15289624</v>
      </c>
      <c r="C301" t="s">
        <v>442</v>
      </c>
      <c r="D301" t="s">
        <v>20</v>
      </c>
      <c r="E301" s="44">
        <v>33</v>
      </c>
      <c r="F301" s="51" t="s">
        <v>769</v>
      </c>
      <c r="G301" s="1">
        <v>9575</v>
      </c>
      <c r="H301" t="s">
        <v>4</v>
      </c>
      <c r="I301" t="s">
        <v>31</v>
      </c>
      <c r="J301" s="50" t="s">
        <v>651</v>
      </c>
      <c r="K301" s="36" t="s">
        <v>54</v>
      </c>
      <c r="L301" s="2">
        <v>40634</v>
      </c>
      <c r="M301" t="s">
        <v>141</v>
      </c>
    </row>
    <row r="302" spans="1:13" x14ac:dyDescent="0.2">
      <c r="A302" s="66"/>
      <c r="B302" s="53">
        <v>18776533</v>
      </c>
      <c r="C302" t="s">
        <v>563</v>
      </c>
      <c r="D302" t="s">
        <v>20</v>
      </c>
      <c r="E302" s="44">
        <v>26</v>
      </c>
      <c r="F302" s="51" t="s">
        <v>769</v>
      </c>
      <c r="G302" s="1">
        <v>9275</v>
      </c>
      <c r="H302" t="s">
        <v>4</v>
      </c>
      <c r="I302" t="s">
        <v>31</v>
      </c>
      <c r="J302" s="50" t="s">
        <v>651</v>
      </c>
      <c r="K302" t="s">
        <v>54</v>
      </c>
      <c r="L302" s="2">
        <v>40787</v>
      </c>
      <c r="M302" t="s">
        <v>141</v>
      </c>
    </row>
    <row r="303" spans="1:13" x14ac:dyDescent="0.2">
      <c r="A303" s="66"/>
      <c r="B303" s="53">
        <v>18084609</v>
      </c>
      <c r="C303" t="s">
        <v>543</v>
      </c>
      <c r="D303" t="s">
        <v>0</v>
      </c>
      <c r="E303" s="44">
        <v>30</v>
      </c>
      <c r="F303" s="51" t="s">
        <v>769</v>
      </c>
      <c r="G303" s="1">
        <v>9275</v>
      </c>
      <c r="H303" t="s">
        <v>4</v>
      </c>
      <c r="I303" t="s">
        <v>34</v>
      </c>
      <c r="J303" s="50" t="s">
        <v>651</v>
      </c>
      <c r="K303" t="s">
        <v>54</v>
      </c>
      <c r="L303" s="2">
        <v>40819</v>
      </c>
      <c r="M303" t="s">
        <v>141</v>
      </c>
    </row>
    <row r="304" spans="1:13" x14ac:dyDescent="0.2">
      <c r="A304" s="66"/>
      <c r="B304" s="53">
        <v>8299888</v>
      </c>
      <c r="C304" t="s">
        <v>140</v>
      </c>
      <c r="D304" t="s">
        <v>0</v>
      </c>
      <c r="E304" s="44">
        <v>39</v>
      </c>
      <c r="F304" s="51" t="s">
        <v>769</v>
      </c>
      <c r="G304" s="1">
        <v>9575</v>
      </c>
      <c r="H304" t="s">
        <v>4</v>
      </c>
      <c r="I304" t="s">
        <v>34</v>
      </c>
      <c r="J304" s="50" t="s">
        <v>651</v>
      </c>
      <c r="K304" t="s">
        <v>54</v>
      </c>
      <c r="L304" s="2">
        <v>40863</v>
      </c>
      <c r="M304" t="s">
        <v>141</v>
      </c>
    </row>
    <row r="305" spans="1:13" x14ac:dyDescent="0.2">
      <c r="A305" s="66"/>
      <c r="B305" s="53">
        <v>19082880</v>
      </c>
      <c r="C305" t="s">
        <v>777</v>
      </c>
      <c r="D305" t="s">
        <v>20</v>
      </c>
      <c r="E305" s="44">
        <v>25</v>
      </c>
      <c r="F305" s="51" t="s">
        <v>768</v>
      </c>
      <c r="G305" s="1">
        <v>9275</v>
      </c>
      <c r="H305" t="s">
        <v>4</v>
      </c>
      <c r="I305" t="s">
        <v>2</v>
      </c>
      <c r="J305" s="50" t="s">
        <v>651</v>
      </c>
      <c r="K305" t="s">
        <v>54</v>
      </c>
      <c r="L305" s="2">
        <v>42110</v>
      </c>
      <c r="M305" t="s">
        <v>141</v>
      </c>
    </row>
    <row r="306" spans="1:13" x14ac:dyDescent="0.2">
      <c r="A306" s="66"/>
      <c r="B306" s="53">
        <v>18120278</v>
      </c>
      <c r="C306" t="s">
        <v>544</v>
      </c>
      <c r="D306" t="s">
        <v>20</v>
      </c>
      <c r="E306" s="44">
        <v>29</v>
      </c>
      <c r="F306" s="51" t="s">
        <v>769</v>
      </c>
      <c r="G306" s="1">
        <v>26325</v>
      </c>
      <c r="H306" t="s">
        <v>1</v>
      </c>
      <c r="I306" t="s">
        <v>2</v>
      </c>
      <c r="J306" s="50" t="s">
        <v>651</v>
      </c>
      <c r="K306" t="s">
        <v>672</v>
      </c>
      <c r="L306" s="2">
        <v>40371</v>
      </c>
      <c r="M306" t="s">
        <v>137</v>
      </c>
    </row>
    <row r="307" spans="1:13" x14ac:dyDescent="0.2">
      <c r="A307" s="66"/>
      <c r="B307" s="53">
        <v>18238905</v>
      </c>
      <c r="C307" t="s">
        <v>548</v>
      </c>
      <c r="D307" t="s">
        <v>0</v>
      </c>
      <c r="E307" s="44">
        <v>27</v>
      </c>
      <c r="F307" s="51" t="s">
        <v>769</v>
      </c>
      <c r="G307" s="1">
        <v>26325</v>
      </c>
      <c r="H307" t="s">
        <v>1</v>
      </c>
      <c r="I307" t="s">
        <v>2</v>
      </c>
      <c r="J307" s="50" t="s">
        <v>651</v>
      </c>
      <c r="K307" t="s">
        <v>672</v>
      </c>
      <c r="L307" s="2">
        <v>40710</v>
      </c>
      <c r="M307" t="s">
        <v>137</v>
      </c>
    </row>
    <row r="308" spans="1:13" x14ac:dyDescent="0.2">
      <c r="A308" s="66"/>
      <c r="B308" s="53">
        <v>12574497</v>
      </c>
      <c r="C308" t="s">
        <v>296</v>
      </c>
      <c r="D308" t="s">
        <v>20</v>
      </c>
      <c r="E308" s="44">
        <v>38</v>
      </c>
      <c r="F308" s="51" t="s">
        <v>769</v>
      </c>
      <c r="G308" s="1">
        <v>29365</v>
      </c>
      <c r="H308" t="s">
        <v>1</v>
      </c>
      <c r="I308" t="s">
        <v>2</v>
      </c>
      <c r="J308" s="50" t="s">
        <v>651</v>
      </c>
      <c r="K308" t="s">
        <v>672</v>
      </c>
      <c r="L308" s="2">
        <v>40940</v>
      </c>
      <c r="M308" t="s">
        <v>137</v>
      </c>
    </row>
    <row r="309" spans="1:13" x14ac:dyDescent="0.2">
      <c r="A309" s="66"/>
      <c r="B309" s="53">
        <v>20537656</v>
      </c>
      <c r="C309" t="s">
        <v>743</v>
      </c>
      <c r="D309" t="s">
        <v>0</v>
      </c>
      <c r="E309" s="44">
        <v>24</v>
      </c>
      <c r="F309" s="51" t="s">
        <v>768</v>
      </c>
      <c r="G309" s="1">
        <v>19485</v>
      </c>
      <c r="H309" t="s">
        <v>1</v>
      </c>
      <c r="I309" t="s">
        <v>2</v>
      </c>
      <c r="J309" s="50" t="s">
        <v>651</v>
      </c>
      <c r="K309" t="s">
        <v>672</v>
      </c>
      <c r="L309" s="2">
        <v>42037</v>
      </c>
      <c r="M309" t="s">
        <v>137</v>
      </c>
    </row>
    <row r="310" spans="1:13" x14ac:dyDescent="0.2">
      <c r="A310" s="66"/>
      <c r="B310" s="53">
        <v>18550445</v>
      </c>
      <c r="C310" t="s">
        <v>749</v>
      </c>
      <c r="D310" t="s">
        <v>20</v>
      </c>
      <c r="E310" s="44">
        <v>26</v>
      </c>
      <c r="F310" s="51" t="s">
        <v>768</v>
      </c>
      <c r="G310" s="1">
        <v>21450</v>
      </c>
      <c r="H310" t="s">
        <v>1</v>
      </c>
      <c r="I310" t="s">
        <v>2</v>
      </c>
      <c r="J310" s="50" t="s">
        <v>651</v>
      </c>
      <c r="K310" t="s">
        <v>672</v>
      </c>
      <c r="L310" s="2">
        <v>42037</v>
      </c>
      <c r="M310" t="s">
        <v>137</v>
      </c>
    </row>
    <row r="311" spans="1:13" x14ac:dyDescent="0.2">
      <c r="A311" s="66"/>
      <c r="B311" s="53">
        <v>18775030</v>
      </c>
      <c r="C311" t="s">
        <v>800</v>
      </c>
      <c r="D311" t="s">
        <v>0</v>
      </c>
      <c r="E311" s="44">
        <v>27</v>
      </c>
      <c r="F311" s="51" t="s">
        <v>768</v>
      </c>
      <c r="G311" s="1">
        <v>21450</v>
      </c>
      <c r="H311" t="s">
        <v>1</v>
      </c>
      <c r="I311" t="s">
        <v>2</v>
      </c>
      <c r="J311" s="50" t="s">
        <v>651</v>
      </c>
      <c r="K311" t="s">
        <v>672</v>
      </c>
      <c r="L311" s="2">
        <v>42142</v>
      </c>
      <c r="M311" t="s">
        <v>137</v>
      </c>
    </row>
    <row r="312" spans="1:13" x14ac:dyDescent="0.2">
      <c r="A312" s="66"/>
      <c r="B312" s="53">
        <v>20762152</v>
      </c>
      <c r="C312" t="s">
        <v>801</v>
      </c>
      <c r="D312" t="s">
        <v>0</v>
      </c>
      <c r="E312" s="44">
        <v>26</v>
      </c>
      <c r="F312" s="51" t="s">
        <v>768</v>
      </c>
      <c r="G312" s="1">
        <v>21450</v>
      </c>
      <c r="H312" t="s">
        <v>1</v>
      </c>
      <c r="I312" t="s">
        <v>2</v>
      </c>
      <c r="J312" s="50" t="s">
        <v>651</v>
      </c>
      <c r="K312" t="s">
        <v>672</v>
      </c>
      <c r="L312" s="2">
        <v>42142</v>
      </c>
      <c r="M312" t="s">
        <v>137</v>
      </c>
    </row>
    <row r="313" spans="1:13" x14ac:dyDescent="0.2">
      <c r="A313" s="66"/>
      <c r="B313" s="53">
        <v>6222954</v>
      </c>
      <c r="C313" t="s">
        <v>64</v>
      </c>
      <c r="D313" t="s">
        <v>0</v>
      </c>
      <c r="E313" s="44">
        <v>48</v>
      </c>
      <c r="F313" s="51" t="s">
        <v>769</v>
      </c>
      <c r="G313" s="1">
        <v>28330</v>
      </c>
      <c r="H313" t="s">
        <v>1</v>
      </c>
      <c r="I313" t="s">
        <v>2</v>
      </c>
      <c r="J313" s="50" t="s">
        <v>651</v>
      </c>
      <c r="K313" t="s">
        <v>673</v>
      </c>
      <c r="L313" s="2">
        <v>40560</v>
      </c>
      <c r="M313" t="s">
        <v>65</v>
      </c>
    </row>
    <row r="314" spans="1:13" x14ac:dyDescent="0.2">
      <c r="A314" s="66"/>
      <c r="B314" s="53">
        <v>10965852</v>
      </c>
      <c r="C314" t="s">
        <v>213</v>
      </c>
      <c r="D314" t="s">
        <v>20</v>
      </c>
      <c r="E314" s="44">
        <v>45</v>
      </c>
      <c r="F314" s="51" t="s">
        <v>769</v>
      </c>
      <c r="G314" s="1">
        <v>20835</v>
      </c>
      <c r="H314" t="s">
        <v>1</v>
      </c>
      <c r="I314" t="s">
        <v>2</v>
      </c>
      <c r="J314" s="50" t="s">
        <v>651</v>
      </c>
      <c r="K314" t="s">
        <v>673</v>
      </c>
      <c r="L314" s="2">
        <v>40725</v>
      </c>
      <c r="M314" t="s">
        <v>854</v>
      </c>
    </row>
    <row r="315" spans="1:13" x14ac:dyDescent="0.2">
      <c r="A315" s="66"/>
      <c r="B315" s="53">
        <v>12578192</v>
      </c>
      <c r="C315" t="s">
        <v>298</v>
      </c>
      <c r="D315" t="s">
        <v>0</v>
      </c>
      <c r="E315" s="44">
        <v>40</v>
      </c>
      <c r="F315" s="51" t="s">
        <v>769</v>
      </c>
      <c r="G315" s="1">
        <v>26010</v>
      </c>
      <c r="H315" t="s">
        <v>1</v>
      </c>
      <c r="I315" t="s">
        <v>2</v>
      </c>
      <c r="J315" s="50" t="s">
        <v>651</v>
      </c>
      <c r="K315" t="s">
        <v>673</v>
      </c>
      <c r="L315" s="2">
        <v>40787</v>
      </c>
      <c r="M315" t="s">
        <v>299</v>
      </c>
    </row>
    <row r="316" spans="1:13" x14ac:dyDescent="0.2">
      <c r="A316" s="66"/>
      <c r="B316" s="53">
        <v>14295470</v>
      </c>
      <c r="C316" t="s">
        <v>394</v>
      </c>
      <c r="D316" t="s">
        <v>20</v>
      </c>
      <c r="E316" s="44">
        <v>34</v>
      </c>
      <c r="F316" s="51" t="s">
        <v>769</v>
      </c>
      <c r="G316" s="1">
        <v>27355</v>
      </c>
      <c r="H316" t="s">
        <v>1</v>
      </c>
      <c r="I316" t="s">
        <v>2</v>
      </c>
      <c r="J316" s="50" t="s">
        <v>651</v>
      </c>
      <c r="K316" t="s">
        <v>673</v>
      </c>
      <c r="L316" s="2">
        <v>40787</v>
      </c>
      <c r="M316" t="s">
        <v>778</v>
      </c>
    </row>
    <row r="317" spans="1:13" x14ac:dyDescent="0.2">
      <c r="A317" s="66"/>
      <c r="B317" s="53">
        <v>17076232</v>
      </c>
      <c r="C317" t="s">
        <v>505</v>
      </c>
      <c r="D317" t="s">
        <v>20</v>
      </c>
      <c r="E317" s="44">
        <v>31</v>
      </c>
      <c r="F317" s="51" t="s">
        <v>769</v>
      </c>
      <c r="G317" s="1">
        <v>25075</v>
      </c>
      <c r="H317" t="s">
        <v>1</v>
      </c>
      <c r="I317" t="s">
        <v>2</v>
      </c>
      <c r="J317" s="50" t="s">
        <v>651</v>
      </c>
      <c r="K317" t="s">
        <v>673</v>
      </c>
      <c r="L317" s="2">
        <v>40787</v>
      </c>
      <c r="M317" t="s">
        <v>506</v>
      </c>
    </row>
    <row r="318" spans="1:13" x14ac:dyDescent="0.2">
      <c r="A318" s="66"/>
      <c r="B318" s="53">
        <v>16927020</v>
      </c>
      <c r="C318" t="s">
        <v>504</v>
      </c>
      <c r="D318" t="s">
        <v>0</v>
      </c>
      <c r="E318" s="44">
        <v>31</v>
      </c>
      <c r="F318" s="51" t="s">
        <v>769</v>
      </c>
      <c r="G318" s="1">
        <v>23650</v>
      </c>
      <c r="H318" t="s">
        <v>1</v>
      </c>
      <c r="I318" t="s">
        <v>2</v>
      </c>
      <c r="J318" s="50" t="s">
        <v>651</v>
      </c>
      <c r="K318" t="s">
        <v>673</v>
      </c>
      <c r="L318" s="2">
        <v>41548</v>
      </c>
      <c r="M318" t="s">
        <v>299</v>
      </c>
    </row>
    <row r="319" spans="1:13" x14ac:dyDescent="0.2">
      <c r="A319" s="66"/>
      <c r="B319" s="53">
        <v>16173645</v>
      </c>
      <c r="C319" t="s">
        <v>468</v>
      </c>
      <c r="D319" t="s">
        <v>0</v>
      </c>
      <c r="E319" s="44">
        <v>31</v>
      </c>
      <c r="F319" s="51" t="s">
        <v>769</v>
      </c>
      <c r="G319" s="1">
        <v>23605</v>
      </c>
      <c r="H319" t="s">
        <v>1</v>
      </c>
      <c r="I319" t="s">
        <v>2</v>
      </c>
      <c r="J319" s="50" t="s">
        <v>651</v>
      </c>
      <c r="K319" t="s">
        <v>673</v>
      </c>
      <c r="L319" s="2">
        <v>41579</v>
      </c>
      <c r="M319" t="s">
        <v>65</v>
      </c>
    </row>
    <row r="320" spans="1:13" x14ac:dyDescent="0.2">
      <c r="A320" s="66"/>
      <c r="B320" s="53">
        <v>17827389</v>
      </c>
      <c r="C320" t="s">
        <v>674</v>
      </c>
      <c r="D320" t="s">
        <v>20</v>
      </c>
      <c r="E320" s="44">
        <v>28</v>
      </c>
      <c r="F320" s="51" t="s">
        <v>769</v>
      </c>
      <c r="G320" s="1">
        <v>21995</v>
      </c>
      <c r="H320" t="s">
        <v>1</v>
      </c>
      <c r="I320" t="s">
        <v>2</v>
      </c>
      <c r="J320" s="50" t="s">
        <v>651</v>
      </c>
      <c r="K320" t="s">
        <v>673</v>
      </c>
      <c r="L320" s="2">
        <v>41792</v>
      </c>
      <c r="M320" t="s">
        <v>506</v>
      </c>
    </row>
    <row r="321" spans="1:13" x14ac:dyDescent="0.2">
      <c r="A321" s="66"/>
      <c r="B321" s="53">
        <v>19169441</v>
      </c>
      <c r="C321" t="s">
        <v>699</v>
      </c>
      <c r="D321" t="s">
        <v>0</v>
      </c>
      <c r="E321" s="44">
        <v>26</v>
      </c>
      <c r="F321" s="51" t="s">
        <v>769</v>
      </c>
      <c r="G321" s="1">
        <v>22905</v>
      </c>
      <c r="H321" t="s">
        <v>1</v>
      </c>
      <c r="I321" t="s">
        <v>2</v>
      </c>
      <c r="J321" s="50" t="s">
        <v>651</v>
      </c>
      <c r="K321" t="s">
        <v>673</v>
      </c>
      <c r="L321" s="2">
        <v>41852</v>
      </c>
      <c r="M321" t="s">
        <v>395</v>
      </c>
    </row>
    <row r="322" spans="1:13" x14ac:dyDescent="0.2">
      <c r="A322" s="66"/>
      <c r="B322" s="53">
        <v>18299836</v>
      </c>
      <c r="C322" t="s">
        <v>675</v>
      </c>
      <c r="D322" t="s">
        <v>0</v>
      </c>
      <c r="E322" s="44">
        <v>28</v>
      </c>
      <c r="F322" s="51" t="s">
        <v>769</v>
      </c>
      <c r="G322" s="1">
        <v>22905</v>
      </c>
      <c r="H322" t="s">
        <v>1</v>
      </c>
      <c r="I322" t="s">
        <v>2</v>
      </c>
      <c r="J322" s="50" t="s">
        <v>652</v>
      </c>
      <c r="K322" t="s">
        <v>51</v>
      </c>
      <c r="L322" s="2">
        <v>41792</v>
      </c>
      <c r="M322" t="s">
        <v>676</v>
      </c>
    </row>
    <row r="323" spans="1:13" x14ac:dyDescent="0.2">
      <c r="A323" s="66"/>
      <c r="B323" s="53">
        <v>8228862</v>
      </c>
      <c r="C323" t="s">
        <v>103</v>
      </c>
      <c r="D323" t="s">
        <v>0</v>
      </c>
      <c r="E323" s="44">
        <v>49</v>
      </c>
      <c r="F323" s="51" t="s">
        <v>769</v>
      </c>
      <c r="G323" s="1">
        <v>39175</v>
      </c>
      <c r="H323" t="s">
        <v>1</v>
      </c>
      <c r="I323" t="s">
        <v>2</v>
      </c>
      <c r="J323" s="50" t="s">
        <v>652</v>
      </c>
      <c r="K323" t="s">
        <v>823</v>
      </c>
      <c r="L323" s="2">
        <v>37839</v>
      </c>
      <c r="M323" s="36" t="s">
        <v>824</v>
      </c>
    </row>
    <row r="324" spans="1:13" x14ac:dyDescent="0.2">
      <c r="A324" s="66"/>
      <c r="B324" s="53">
        <v>15174573</v>
      </c>
      <c r="C324" t="s">
        <v>433</v>
      </c>
      <c r="D324" t="s">
        <v>20</v>
      </c>
      <c r="E324" s="44">
        <v>34</v>
      </c>
      <c r="F324" s="51" t="s">
        <v>769</v>
      </c>
      <c r="G324" s="1">
        <v>9575</v>
      </c>
      <c r="H324" t="s">
        <v>4</v>
      </c>
      <c r="I324" t="s">
        <v>46</v>
      </c>
      <c r="J324" s="50" t="s">
        <v>652</v>
      </c>
      <c r="K324" t="s">
        <v>823</v>
      </c>
      <c r="L324" s="2">
        <v>39027</v>
      </c>
      <c r="M324" t="s">
        <v>136</v>
      </c>
    </row>
    <row r="325" spans="1:13" x14ac:dyDescent="0.2">
      <c r="A325" s="66"/>
      <c r="B325" s="53">
        <v>8594506</v>
      </c>
      <c r="C325" t="s">
        <v>163</v>
      </c>
      <c r="D325" t="s">
        <v>20</v>
      </c>
      <c r="E325" s="44">
        <v>50</v>
      </c>
      <c r="F325" s="51" t="s">
        <v>769</v>
      </c>
      <c r="G325" s="1">
        <v>9875</v>
      </c>
      <c r="H325" t="s">
        <v>4</v>
      </c>
      <c r="I325" t="s">
        <v>5</v>
      </c>
      <c r="J325" s="50" t="s">
        <v>652</v>
      </c>
      <c r="K325" t="s">
        <v>823</v>
      </c>
      <c r="L325" s="2">
        <v>39114</v>
      </c>
      <c r="M325" t="s">
        <v>136</v>
      </c>
    </row>
    <row r="326" spans="1:13" x14ac:dyDescent="0.2">
      <c r="A326" s="66"/>
      <c r="B326" s="53">
        <v>15292898</v>
      </c>
      <c r="C326" t="s">
        <v>444</v>
      </c>
      <c r="D326" t="s">
        <v>0</v>
      </c>
      <c r="E326" s="44">
        <v>34</v>
      </c>
      <c r="F326" s="51" t="s">
        <v>769</v>
      </c>
      <c r="G326" s="1">
        <v>34165</v>
      </c>
      <c r="H326" t="s">
        <v>1</v>
      </c>
      <c r="I326" t="s">
        <v>2</v>
      </c>
      <c r="J326" s="50" t="s">
        <v>652</v>
      </c>
      <c r="K326" t="s">
        <v>823</v>
      </c>
      <c r="L326" s="2">
        <v>39552</v>
      </c>
      <c r="M326" t="s">
        <v>62</v>
      </c>
    </row>
    <row r="327" spans="1:13" x14ac:dyDescent="0.2">
      <c r="A327" s="66"/>
      <c r="B327" s="53">
        <v>8287451</v>
      </c>
      <c r="C327" t="s">
        <v>135</v>
      </c>
      <c r="D327" t="s">
        <v>0</v>
      </c>
      <c r="E327" s="44">
        <v>41</v>
      </c>
      <c r="F327" s="51" t="s">
        <v>769</v>
      </c>
      <c r="G327" s="1">
        <v>9675</v>
      </c>
      <c r="H327" t="s">
        <v>4</v>
      </c>
      <c r="I327" t="s">
        <v>34</v>
      </c>
      <c r="J327" s="50" t="s">
        <v>652</v>
      </c>
      <c r="K327" t="s">
        <v>823</v>
      </c>
      <c r="L327" s="2">
        <v>39968</v>
      </c>
      <c r="M327" t="s">
        <v>136</v>
      </c>
    </row>
    <row r="328" spans="1:13" x14ac:dyDescent="0.2">
      <c r="A328" s="66"/>
      <c r="B328" s="53">
        <v>13692997</v>
      </c>
      <c r="C328" t="s">
        <v>350</v>
      </c>
      <c r="D328" t="s">
        <v>0</v>
      </c>
      <c r="E328" s="44">
        <v>36</v>
      </c>
      <c r="F328" s="51" t="s">
        <v>769</v>
      </c>
      <c r="G328" s="1">
        <v>9675</v>
      </c>
      <c r="H328" t="s">
        <v>4</v>
      </c>
      <c r="I328" t="s">
        <v>31</v>
      </c>
      <c r="J328" s="50" t="s">
        <v>652</v>
      </c>
      <c r="K328" t="s">
        <v>823</v>
      </c>
      <c r="L328" s="2">
        <v>40167</v>
      </c>
      <c r="M328" t="s">
        <v>136</v>
      </c>
    </row>
    <row r="329" spans="1:13" x14ac:dyDescent="0.2">
      <c r="A329" s="66"/>
      <c r="B329" s="53">
        <v>8256095</v>
      </c>
      <c r="C329" t="s">
        <v>114</v>
      </c>
      <c r="D329" t="s">
        <v>0</v>
      </c>
      <c r="E329" s="44">
        <v>44</v>
      </c>
      <c r="F329" s="51" t="s">
        <v>769</v>
      </c>
      <c r="G329" s="1">
        <v>8675</v>
      </c>
      <c r="H329" t="s">
        <v>4</v>
      </c>
      <c r="I329" t="s">
        <v>34</v>
      </c>
      <c r="J329" s="50" t="s">
        <v>652</v>
      </c>
      <c r="K329" t="s">
        <v>823</v>
      </c>
      <c r="L329" s="2">
        <v>40665</v>
      </c>
      <c r="M329" t="s">
        <v>115</v>
      </c>
    </row>
    <row r="330" spans="1:13" x14ac:dyDescent="0.2">
      <c r="A330" s="66"/>
      <c r="B330" s="53">
        <v>8280208</v>
      </c>
      <c r="C330" t="s">
        <v>134</v>
      </c>
      <c r="D330" t="s">
        <v>0</v>
      </c>
      <c r="E330" s="44">
        <v>43</v>
      </c>
      <c r="F330" s="51" t="s">
        <v>769</v>
      </c>
      <c r="G330" s="1">
        <v>8675</v>
      </c>
      <c r="H330" t="s">
        <v>4</v>
      </c>
      <c r="I330" t="s">
        <v>5</v>
      </c>
      <c r="J330" s="50" t="s">
        <v>652</v>
      </c>
      <c r="K330" t="s">
        <v>823</v>
      </c>
      <c r="L330" s="2">
        <v>40665</v>
      </c>
      <c r="M330" t="s">
        <v>115</v>
      </c>
    </row>
    <row r="331" spans="1:13" x14ac:dyDescent="0.2">
      <c r="A331" s="66"/>
      <c r="B331" s="53">
        <v>13914786</v>
      </c>
      <c r="C331" t="s">
        <v>364</v>
      </c>
      <c r="D331" t="s">
        <v>0</v>
      </c>
      <c r="E331" s="44">
        <v>36</v>
      </c>
      <c r="F331" s="51" t="s">
        <v>769</v>
      </c>
      <c r="G331" s="1">
        <v>8675</v>
      </c>
      <c r="H331" t="s">
        <v>4</v>
      </c>
      <c r="I331" t="s">
        <v>31</v>
      </c>
      <c r="J331" s="50" t="s">
        <v>652</v>
      </c>
      <c r="K331" t="s">
        <v>823</v>
      </c>
      <c r="L331" s="2">
        <v>40665</v>
      </c>
      <c r="M331" t="s">
        <v>115</v>
      </c>
    </row>
    <row r="332" spans="1:13" x14ac:dyDescent="0.2">
      <c r="A332" s="66"/>
      <c r="B332" s="53">
        <v>16926509</v>
      </c>
      <c r="C332" t="s">
        <v>503</v>
      </c>
      <c r="D332" t="s">
        <v>0</v>
      </c>
      <c r="E332" s="44">
        <v>29</v>
      </c>
      <c r="F332" s="51" t="s">
        <v>769</v>
      </c>
      <c r="G332" s="1">
        <v>8675</v>
      </c>
      <c r="H332" t="s">
        <v>4</v>
      </c>
      <c r="I332" t="s">
        <v>46</v>
      </c>
      <c r="J332" s="50" t="s">
        <v>652</v>
      </c>
      <c r="K332" t="s">
        <v>823</v>
      </c>
      <c r="L332" s="2">
        <v>40665</v>
      </c>
      <c r="M332" t="s">
        <v>115</v>
      </c>
    </row>
    <row r="333" spans="1:13" x14ac:dyDescent="0.2">
      <c r="A333" s="66"/>
      <c r="B333" s="53">
        <v>9229450</v>
      </c>
      <c r="C333" t="s">
        <v>175</v>
      </c>
      <c r="D333" t="s">
        <v>0</v>
      </c>
      <c r="E333" s="44">
        <v>48</v>
      </c>
      <c r="F333" s="51" t="s">
        <v>769</v>
      </c>
      <c r="G333" s="1">
        <v>8675</v>
      </c>
      <c r="H333" t="s">
        <v>4</v>
      </c>
      <c r="I333" t="s">
        <v>34</v>
      </c>
      <c r="J333" s="50" t="s">
        <v>652</v>
      </c>
      <c r="K333" t="s">
        <v>823</v>
      </c>
      <c r="L333" s="2">
        <v>40742</v>
      </c>
      <c r="M333" t="s">
        <v>176</v>
      </c>
    </row>
    <row r="334" spans="1:13" x14ac:dyDescent="0.2">
      <c r="A334" s="66"/>
      <c r="B334" s="53">
        <v>12914414</v>
      </c>
      <c r="C334" t="s">
        <v>317</v>
      </c>
      <c r="D334" t="s">
        <v>0</v>
      </c>
      <c r="E334" s="44">
        <v>37</v>
      </c>
      <c r="F334" s="51" t="s">
        <v>769</v>
      </c>
      <c r="G334" s="1">
        <v>8675</v>
      </c>
      <c r="H334" t="s">
        <v>4</v>
      </c>
      <c r="I334" t="s">
        <v>31</v>
      </c>
      <c r="J334" s="50" t="s">
        <v>652</v>
      </c>
      <c r="K334" t="s">
        <v>823</v>
      </c>
      <c r="L334" s="2">
        <v>40742</v>
      </c>
      <c r="M334" t="s">
        <v>176</v>
      </c>
    </row>
    <row r="335" spans="1:13" x14ac:dyDescent="0.2">
      <c r="A335" s="66"/>
      <c r="B335" s="53">
        <v>16571887</v>
      </c>
      <c r="C335" t="s">
        <v>491</v>
      </c>
      <c r="D335" t="s">
        <v>20</v>
      </c>
      <c r="E335" s="44">
        <v>31</v>
      </c>
      <c r="F335" s="51" t="s">
        <v>769</v>
      </c>
      <c r="G335" s="1">
        <v>8675</v>
      </c>
      <c r="H335" t="s">
        <v>4</v>
      </c>
      <c r="I335" t="s">
        <v>46</v>
      </c>
      <c r="J335" s="50" t="s">
        <v>652</v>
      </c>
      <c r="K335" s="36" t="s">
        <v>823</v>
      </c>
      <c r="L335" s="2">
        <v>40742</v>
      </c>
      <c r="M335" t="s">
        <v>176</v>
      </c>
    </row>
    <row r="336" spans="1:13" x14ac:dyDescent="0.2">
      <c r="A336" s="66"/>
      <c r="B336" s="53">
        <v>19673761</v>
      </c>
      <c r="C336" t="s">
        <v>579</v>
      </c>
      <c r="D336" t="s">
        <v>0</v>
      </c>
      <c r="E336" s="44">
        <v>27</v>
      </c>
      <c r="F336" s="51" t="s">
        <v>769</v>
      </c>
      <c r="G336" s="1">
        <v>8675</v>
      </c>
      <c r="H336" t="s">
        <v>4</v>
      </c>
      <c r="I336" t="s">
        <v>5</v>
      </c>
      <c r="J336" s="50" t="s">
        <v>652</v>
      </c>
      <c r="K336" t="s">
        <v>823</v>
      </c>
      <c r="L336" s="2">
        <v>40742</v>
      </c>
      <c r="M336" t="s">
        <v>176</v>
      </c>
    </row>
    <row r="337" spans="1:13" x14ac:dyDescent="0.2">
      <c r="A337" s="66"/>
      <c r="B337" s="53">
        <v>12506868</v>
      </c>
      <c r="C337" t="s">
        <v>286</v>
      </c>
      <c r="D337" t="s">
        <v>20</v>
      </c>
      <c r="E337" s="44">
        <v>39</v>
      </c>
      <c r="F337" s="51" t="s">
        <v>769</v>
      </c>
      <c r="G337" s="1">
        <v>22175</v>
      </c>
      <c r="H337" t="s">
        <v>1</v>
      </c>
      <c r="I337" t="s">
        <v>2</v>
      </c>
      <c r="J337" s="50" t="s">
        <v>652</v>
      </c>
      <c r="K337" t="s">
        <v>823</v>
      </c>
      <c r="L337" s="2">
        <v>40772</v>
      </c>
      <c r="M337" s="36" t="s">
        <v>287</v>
      </c>
    </row>
    <row r="338" spans="1:13" x14ac:dyDescent="0.2">
      <c r="A338" s="66"/>
      <c r="B338" s="53">
        <v>13168398</v>
      </c>
      <c r="C338" t="s">
        <v>326</v>
      </c>
      <c r="D338" t="s">
        <v>0</v>
      </c>
      <c r="E338" s="44">
        <v>37</v>
      </c>
      <c r="F338" s="51" t="s">
        <v>769</v>
      </c>
      <c r="G338" s="1">
        <v>9275</v>
      </c>
      <c r="H338" t="s">
        <v>4</v>
      </c>
      <c r="I338" t="s">
        <v>31</v>
      </c>
      <c r="J338" s="50" t="s">
        <v>652</v>
      </c>
      <c r="K338" t="s">
        <v>823</v>
      </c>
      <c r="L338" s="2">
        <v>40772</v>
      </c>
      <c r="M338" t="s">
        <v>136</v>
      </c>
    </row>
    <row r="339" spans="1:13" x14ac:dyDescent="0.2">
      <c r="A339" s="66"/>
      <c r="B339" s="53">
        <v>8289282</v>
      </c>
      <c r="C339" t="s">
        <v>724</v>
      </c>
      <c r="D339" t="s">
        <v>0</v>
      </c>
      <c r="E339" s="44">
        <v>41</v>
      </c>
      <c r="F339" s="51" t="s">
        <v>768</v>
      </c>
      <c r="G339" s="1">
        <v>9275</v>
      </c>
      <c r="H339" t="s">
        <v>4</v>
      </c>
      <c r="I339" t="s">
        <v>46</v>
      </c>
      <c r="J339" s="50" t="s">
        <v>652</v>
      </c>
      <c r="K339" t="s">
        <v>823</v>
      </c>
      <c r="L339" s="2">
        <v>41946</v>
      </c>
      <c r="M339" t="s">
        <v>136</v>
      </c>
    </row>
    <row r="340" spans="1:13" x14ac:dyDescent="0.2">
      <c r="A340" s="66"/>
      <c r="B340" s="53">
        <v>16115831</v>
      </c>
      <c r="C340" t="s">
        <v>725</v>
      </c>
      <c r="D340" t="s">
        <v>0</v>
      </c>
      <c r="E340" s="44">
        <v>35</v>
      </c>
      <c r="F340" s="51" t="s">
        <v>768</v>
      </c>
      <c r="G340" s="1">
        <v>9275</v>
      </c>
      <c r="H340" t="s">
        <v>4</v>
      </c>
      <c r="I340" t="s">
        <v>34</v>
      </c>
      <c r="J340" s="50" t="s">
        <v>652</v>
      </c>
      <c r="K340" t="s">
        <v>823</v>
      </c>
      <c r="L340" s="2">
        <v>41946</v>
      </c>
      <c r="M340" t="s">
        <v>136</v>
      </c>
    </row>
    <row r="341" spans="1:13" x14ac:dyDescent="0.2">
      <c r="A341" s="66"/>
      <c r="B341" s="53">
        <v>13767219</v>
      </c>
      <c r="C341" t="s">
        <v>779</v>
      </c>
      <c r="D341" t="s">
        <v>0</v>
      </c>
      <c r="E341" s="44">
        <v>35</v>
      </c>
      <c r="F341" s="51" t="s">
        <v>768</v>
      </c>
      <c r="G341" s="1">
        <v>8600</v>
      </c>
      <c r="H341" t="s">
        <v>4</v>
      </c>
      <c r="I341" t="s">
        <v>31</v>
      </c>
      <c r="J341" s="50" t="s">
        <v>652</v>
      </c>
      <c r="K341" t="s">
        <v>823</v>
      </c>
      <c r="L341" s="2">
        <v>42100</v>
      </c>
      <c r="M341" t="s">
        <v>115</v>
      </c>
    </row>
    <row r="342" spans="1:13" x14ac:dyDescent="0.2">
      <c r="A342" s="66"/>
      <c r="B342" s="53">
        <v>20106941</v>
      </c>
      <c r="C342" t="s">
        <v>855</v>
      </c>
      <c r="D342" t="s">
        <v>20</v>
      </c>
      <c r="E342" s="44">
        <v>24</v>
      </c>
      <c r="F342" s="51" t="s">
        <v>769</v>
      </c>
      <c r="G342" s="1">
        <v>18200</v>
      </c>
      <c r="H342" t="s">
        <v>1</v>
      </c>
      <c r="I342" t="s">
        <v>2</v>
      </c>
      <c r="J342" s="50" t="s">
        <v>652</v>
      </c>
      <c r="K342" t="s">
        <v>823</v>
      </c>
      <c r="L342" s="2">
        <v>42186</v>
      </c>
      <c r="M342" t="s">
        <v>856</v>
      </c>
    </row>
    <row r="343" spans="1:13" x14ac:dyDescent="0.2">
      <c r="A343" s="66"/>
      <c r="B343" s="53">
        <v>15387535</v>
      </c>
      <c r="C343" t="s">
        <v>857</v>
      </c>
      <c r="D343" t="s">
        <v>20</v>
      </c>
      <c r="E343" s="44">
        <v>34</v>
      </c>
      <c r="F343" s="51" t="s">
        <v>768</v>
      </c>
      <c r="G343" s="1">
        <v>8675</v>
      </c>
      <c r="H343" t="s">
        <v>4</v>
      </c>
      <c r="I343" t="s">
        <v>46</v>
      </c>
      <c r="J343" s="50" t="s">
        <v>652</v>
      </c>
      <c r="K343" t="s">
        <v>823</v>
      </c>
      <c r="L343" s="2">
        <v>42186</v>
      </c>
      <c r="M343" t="s">
        <v>115</v>
      </c>
    </row>
    <row r="344" spans="1:13" x14ac:dyDescent="0.2">
      <c r="A344" s="66"/>
      <c r="B344" s="53">
        <v>16252840</v>
      </c>
      <c r="C344" t="s">
        <v>471</v>
      </c>
      <c r="D344" t="s">
        <v>20</v>
      </c>
      <c r="E344" s="44">
        <v>32</v>
      </c>
      <c r="F344" s="51" t="s">
        <v>769</v>
      </c>
      <c r="G344" s="1">
        <v>28820</v>
      </c>
      <c r="H344" t="s">
        <v>1</v>
      </c>
      <c r="I344" t="s">
        <v>2</v>
      </c>
      <c r="J344" s="50" t="s">
        <v>652</v>
      </c>
      <c r="K344" t="s">
        <v>825</v>
      </c>
      <c r="L344" s="2">
        <v>40969</v>
      </c>
      <c r="M344" t="s">
        <v>472</v>
      </c>
    </row>
    <row r="345" spans="1:13" x14ac:dyDescent="0.2">
      <c r="A345" s="66"/>
      <c r="B345" s="53">
        <v>15677441</v>
      </c>
      <c r="C345" t="s">
        <v>693</v>
      </c>
      <c r="D345" t="s">
        <v>20</v>
      </c>
      <c r="E345" s="44">
        <v>34</v>
      </c>
      <c r="F345" s="51" t="s">
        <v>769</v>
      </c>
      <c r="G345" s="1">
        <v>25960</v>
      </c>
      <c r="H345" t="s">
        <v>1</v>
      </c>
      <c r="I345" t="s">
        <v>2</v>
      </c>
      <c r="J345" s="50" t="s">
        <v>652</v>
      </c>
      <c r="K345" t="s">
        <v>825</v>
      </c>
      <c r="L345" s="2">
        <v>41837</v>
      </c>
      <c r="M345" t="s">
        <v>472</v>
      </c>
    </row>
    <row r="346" spans="1:13" x14ac:dyDescent="0.2">
      <c r="A346" s="66"/>
      <c r="B346" s="53">
        <v>14574531</v>
      </c>
      <c r="C346" t="s">
        <v>858</v>
      </c>
      <c r="D346" t="s">
        <v>20</v>
      </c>
      <c r="E346" s="44">
        <v>35</v>
      </c>
      <c r="F346" s="51" t="s">
        <v>769</v>
      </c>
      <c r="G346" s="1">
        <v>41600</v>
      </c>
      <c r="H346" t="s">
        <v>1</v>
      </c>
      <c r="I346" t="s">
        <v>2</v>
      </c>
      <c r="J346" s="50" t="s">
        <v>652</v>
      </c>
      <c r="K346" t="s">
        <v>825</v>
      </c>
      <c r="L346" s="2">
        <v>42186</v>
      </c>
      <c r="M346" t="s">
        <v>859</v>
      </c>
    </row>
    <row r="347" spans="1:13" x14ac:dyDescent="0.2">
      <c r="A347" s="66"/>
      <c r="B347" s="53">
        <v>11112301</v>
      </c>
      <c r="C347" t="s">
        <v>220</v>
      </c>
      <c r="D347" t="s">
        <v>0</v>
      </c>
      <c r="E347" s="44">
        <v>41</v>
      </c>
      <c r="F347" s="51" t="s">
        <v>769</v>
      </c>
      <c r="G347" s="1">
        <v>47975</v>
      </c>
      <c r="H347" t="s">
        <v>1</v>
      </c>
      <c r="I347" t="s">
        <v>2</v>
      </c>
      <c r="J347" s="50" t="s">
        <v>812</v>
      </c>
      <c r="K347" t="s">
        <v>826</v>
      </c>
      <c r="L347" s="2">
        <v>36367</v>
      </c>
      <c r="M347" t="s">
        <v>828</v>
      </c>
    </row>
    <row r="348" spans="1:13" x14ac:dyDescent="0.2">
      <c r="A348" s="66"/>
      <c r="B348" s="53">
        <v>14615579</v>
      </c>
      <c r="C348" t="s">
        <v>411</v>
      </c>
      <c r="D348" t="s">
        <v>0</v>
      </c>
      <c r="E348" s="44">
        <v>35</v>
      </c>
      <c r="F348" s="51" t="s">
        <v>769</v>
      </c>
      <c r="G348" s="1">
        <v>33480</v>
      </c>
      <c r="H348" t="s">
        <v>1</v>
      </c>
      <c r="I348" t="s">
        <v>2</v>
      </c>
      <c r="J348" s="50" t="s">
        <v>812</v>
      </c>
      <c r="K348" t="s">
        <v>826</v>
      </c>
      <c r="L348" s="2">
        <v>37839</v>
      </c>
      <c r="M348" t="s">
        <v>829</v>
      </c>
    </row>
    <row r="349" spans="1:13" x14ac:dyDescent="0.2">
      <c r="A349" s="66"/>
      <c r="B349" s="53">
        <v>11422420</v>
      </c>
      <c r="C349" t="s">
        <v>231</v>
      </c>
      <c r="D349" t="s">
        <v>20</v>
      </c>
      <c r="E349" s="44">
        <v>43</v>
      </c>
      <c r="F349" s="51" t="s">
        <v>769</v>
      </c>
      <c r="G349" s="1">
        <v>31460</v>
      </c>
      <c r="H349" t="s">
        <v>1</v>
      </c>
      <c r="I349" t="s">
        <v>2</v>
      </c>
      <c r="J349" s="50" t="s">
        <v>812</v>
      </c>
      <c r="K349" t="s">
        <v>826</v>
      </c>
      <c r="L349" s="2">
        <v>39090</v>
      </c>
      <c r="M349" s="36" t="s">
        <v>829</v>
      </c>
    </row>
    <row r="350" spans="1:13" x14ac:dyDescent="0.2">
      <c r="A350" s="66"/>
      <c r="B350" s="53">
        <v>10631886</v>
      </c>
      <c r="C350" t="s">
        <v>210</v>
      </c>
      <c r="D350" t="s">
        <v>0</v>
      </c>
      <c r="E350" s="44">
        <v>45</v>
      </c>
      <c r="F350" s="51" t="s">
        <v>769</v>
      </c>
      <c r="G350" s="1">
        <v>29645</v>
      </c>
      <c r="H350" t="s">
        <v>1</v>
      </c>
      <c r="I350" t="s">
        <v>2</v>
      </c>
      <c r="J350" s="50" t="s">
        <v>812</v>
      </c>
      <c r="K350" t="s">
        <v>826</v>
      </c>
      <c r="L350" s="2">
        <v>39118</v>
      </c>
      <c r="M350" t="s">
        <v>188</v>
      </c>
    </row>
    <row r="351" spans="1:13" x14ac:dyDescent="0.2">
      <c r="A351" s="66"/>
      <c r="B351" s="53">
        <v>11564701</v>
      </c>
      <c r="C351" t="s">
        <v>236</v>
      </c>
      <c r="D351" t="s">
        <v>0</v>
      </c>
      <c r="E351" s="44">
        <v>41</v>
      </c>
      <c r="F351" s="51" t="s">
        <v>769</v>
      </c>
      <c r="G351" s="1">
        <v>31540</v>
      </c>
      <c r="H351" t="s">
        <v>1</v>
      </c>
      <c r="I351" t="s">
        <v>2</v>
      </c>
      <c r="J351" s="50" t="s">
        <v>812</v>
      </c>
      <c r="K351" t="s">
        <v>826</v>
      </c>
      <c r="L351" s="2">
        <v>39118</v>
      </c>
      <c r="M351" s="36" t="s">
        <v>188</v>
      </c>
    </row>
    <row r="352" spans="1:13" x14ac:dyDescent="0.2">
      <c r="A352" s="66"/>
      <c r="B352" s="53">
        <v>17885610</v>
      </c>
      <c r="C352" t="s">
        <v>538</v>
      </c>
      <c r="D352" t="s">
        <v>0</v>
      </c>
      <c r="E352" s="44">
        <v>30</v>
      </c>
      <c r="F352" s="51" t="s">
        <v>769</v>
      </c>
      <c r="G352" s="1">
        <v>24640</v>
      </c>
      <c r="H352" t="s">
        <v>1</v>
      </c>
      <c r="I352" t="s">
        <v>2</v>
      </c>
      <c r="J352" s="50" t="s">
        <v>812</v>
      </c>
      <c r="K352" t="s">
        <v>826</v>
      </c>
      <c r="L352" s="2">
        <v>40430</v>
      </c>
      <c r="M352" t="s">
        <v>412</v>
      </c>
    </row>
    <row r="353" spans="1:13" x14ac:dyDescent="0.2">
      <c r="A353" s="66"/>
      <c r="B353" s="53">
        <v>21327355</v>
      </c>
      <c r="C353" t="s">
        <v>662</v>
      </c>
      <c r="D353" t="s">
        <v>0</v>
      </c>
      <c r="E353" s="44">
        <v>22</v>
      </c>
      <c r="F353" s="51" t="s">
        <v>769</v>
      </c>
      <c r="G353" s="1">
        <v>15885</v>
      </c>
      <c r="H353" t="s">
        <v>1</v>
      </c>
      <c r="I353" t="s">
        <v>2</v>
      </c>
      <c r="J353" s="50" t="s">
        <v>812</v>
      </c>
      <c r="K353" t="s">
        <v>826</v>
      </c>
      <c r="L353" s="2">
        <v>41001</v>
      </c>
      <c r="M353" t="s">
        <v>827</v>
      </c>
    </row>
    <row r="354" spans="1:13" x14ac:dyDescent="0.2">
      <c r="A354" s="66"/>
      <c r="B354" s="53">
        <v>13360409</v>
      </c>
      <c r="C354" t="s">
        <v>830</v>
      </c>
      <c r="D354" t="s">
        <v>0</v>
      </c>
      <c r="E354" s="44">
        <v>37</v>
      </c>
      <c r="F354" s="51" t="s">
        <v>768</v>
      </c>
      <c r="G354" s="1">
        <v>29645</v>
      </c>
      <c r="H354" t="s">
        <v>1</v>
      </c>
      <c r="I354" t="s">
        <v>2</v>
      </c>
      <c r="J354" s="50" t="s">
        <v>812</v>
      </c>
      <c r="K354" t="s">
        <v>826</v>
      </c>
      <c r="L354" s="2">
        <v>42156</v>
      </c>
      <c r="M354" t="s">
        <v>188</v>
      </c>
    </row>
    <row r="355" spans="1:13" x14ac:dyDescent="0.2">
      <c r="A355" s="66"/>
      <c r="B355" s="53">
        <v>18383756</v>
      </c>
      <c r="C355" t="s">
        <v>553</v>
      </c>
      <c r="D355" t="s">
        <v>20</v>
      </c>
      <c r="E355" s="44">
        <v>28</v>
      </c>
      <c r="F355" s="51" t="s">
        <v>769</v>
      </c>
      <c r="G355" s="1">
        <v>22730</v>
      </c>
      <c r="H355" t="s">
        <v>1</v>
      </c>
      <c r="I355" t="s">
        <v>2</v>
      </c>
      <c r="J355" s="50" t="s">
        <v>597</v>
      </c>
      <c r="K355" t="s">
        <v>831</v>
      </c>
      <c r="L355" s="2">
        <v>40878</v>
      </c>
      <c r="M355" t="s">
        <v>554</v>
      </c>
    </row>
    <row r="356" spans="1:13" x14ac:dyDescent="0.2">
      <c r="A356" s="66"/>
      <c r="B356" s="53">
        <v>8742676</v>
      </c>
      <c r="C356" t="s">
        <v>171</v>
      </c>
      <c r="D356" t="s">
        <v>0</v>
      </c>
      <c r="E356" s="44">
        <v>47</v>
      </c>
      <c r="F356" s="51" t="s">
        <v>769</v>
      </c>
      <c r="G356" s="1">
        <v>55460</v>
      </c>
      <c r="H356" t="s">
        <v>1</v>
      </c>
      <c r="I356" t="s">
        <v>2</v>
      </c>
      <c r="J356" s="50" t="s">
        <v>597</v>
      </c>
      <c r="K356" t="s">
        <v>831</v>
      </c>
      <c r="L356" s="2">
        <v>41596</v>
      </c>
      <c r="M356" t="s">
        <v>150</v>
      </c>
    </row>
    <row r="357" spans="1:13" x14ac:dyDescent="0.2">
      <c r="A357" s="66"/>
      <c r="B357" s="53">
        <v>5818795</v>
      </c>
      <c r="C357" t="s">
        <v>58</v>
      </c>
      <c r="D357" t="s">
        <v>0</v>
      </c>
      <c r="E357" s="44">
        <v>56</v>
      </c>
      <c r="F357" s="51" t="s">
        <v>769</v>
      </c>
      <c r="G357" s="1">
        <v>43870</v>
      </c>
      <c r="H357" t="s">
        <v>1</v>
      </c>
      <c r="I357" t="s">
        <v>2</v>
      </c>
      <c r="J357" s="50" t="s">
        <v>597</v>
      </c>
      <c r="K357" t="s">
        <v>832</v>
      </c>
      <c r="L357" s="2">
        <v>37834</v>
      </c>
      <c r="M357" t="s">
        <v>59</v>
      </c>
    </row>
    <row r="358" spans="1:13" x14ac:dyDescent="0.2">
      <c r="A358" s="66"/>
      <c r="B358" s="53">
        <v>14316280</v>
      </c>
      <c r="C358" t="s">
        <v>396</v>
      </c>
      <c r="D358" t="s">
        <v>0</v>
      </c>
      <c r="E358" s="44">
        <v>35</v>
      </c>
      <c r="F358" s="51" t="s">
        <v>769</v>
      </c>
      <c r="G358" s="1">
        <v>25180</v>
      </c>
      <c r="H358" t="s">
        <v>1</v>
      </c>
      <c r="I358" t="s">
        <v>2</v>
      </c>
      <c r="J358" s="50" t="s">
        <v>597</v>
      </c>
      <c r="K358" t="s">
        <v>832</v>
      </c>
      <c r="L358" s="2">
        <v>40787</v>
      </c>
      <c r="M358" t="s">
        <v>703</v>
      </c>
    </row>
    <row r="359" spans="1:13" x14ac:dyDescent="0.2">
      <c r="A359" s="66"/>
      <c r="B359" s="53">
        <v>5323382</v>
      </c>
      <c r="C359" t="s">
        <v>52</v>
      </c>
      <c r="D359" t="s">
        <v>0</v>
      </c>
      <c r="E359" s="44">
        <v>59</v>
      </c>
      <c r="F359" s="51" t="s">
        <v>769</v>
      </c>
      <c r="G359" s="1">
        <v>27860</v>
      </c>
      <c r="H359" t="s">
        <v>1</v>
      </c>
      <c r="I359" t="s">
        <v>27</v>
      </c>
      <c r="J359" s="50" t="s">
        <v>597</v>
      </c>
      <c r="K359" t="s">
        <v>833</v>
      </c>
      <c r="L359" s="2">
        <v>36542</v>
      </c>
      <c r="M359" t="s">
        <v>53</v>
      </c>
    </row>
    <row r="360" spans="1:13" x14ac:dyDescent="0.2">
      <c r="A360" s="66"/>
      <c r="B360" s="53">
        <v>8101005</v>
      </c>
      <c r="C360" t="s">
        <v>101</v>
      </c>
      <c r="D360" t="s">
        <v>0</v>
      </c>
      <c r="E360" s="44">
        <v>50</v>
      </c>
      <c r="F360" s="51" t="s">
        <v>769</v>
      </c>
      <c r="G360" s="1">
        <v>10124</v>
      </c>
      <c r="H360" t="s">
        <v>4</v>
      </c>
      <c r="I360" t="s">
        <v>31</v>
      </c>
      <c r="J360" s="50" t="s">
        <v>597</v>
      </c>
      <c r="K360" s="45" t="s">
        <v>833</v>
      </c>
      <c r="L360" s="2">
        <v>36542</v>
      </c>
      <c r="M360" t="s">
        <v>24</v>
      </c>
    </row>
    <row r="361" spans="1:13" x14ac:dyDescent="0.2">
      <c r="A361" s="66"/>
      <c r="B361" s="53">
        <v>8608741</v>
      </c>
      <c r="C361" t="s">
        <v>167</v>
      </c>
      <c r="D361" t="s">
        <v>0</v>
      </c>
      <c r="E361" s="44">
        <v>48</v>
      </c>
      <c r="F361" s="51" t="s">
        <v>769</v>
      </c>
      <c r="G361" s="1">
        <v>10130</v>
      </c>
      <c r="H361" t="s">
        <v>4</v>
      </c>
      <c r="I361" t="s">
        <v>2</v>
      </c>
      <c r="J361" s="50" t="s">
        <v>597</v>
      </c>
      <c r="K361" s="45" t="s">
        <v>833</v>
      </c>
      <c r="L361" s="2">
        <v>36542</v>
      </c>
      <c r="M361" t="s">
        <v>24</v>
      </c>
    </row>
    <row r="362" spans="1:13" x14ac:dyDescent="0.2">
      <c r="A362" s="66"/>
      <c r="B362" s="53">
        <v>8277657</v>
      </c>
      <c r="C362" t="s">
        <v>132</v>
      </c>
      <c r="D362" t="s">
        <v>0</v>
      </c>
      <c r="E362" s="44">
        <v>40</v>
      </c>
      <c r="F362" s="51" t="s">
        <v>769</v>
      </c>
      <c r="G362" s="1">
        <v>24580</v>
      </c>
      <c r="H362" t="s">
        <v>1</v>
      </c>
      <c r="I362" t="s">
        <v>8</v>
      </c>
      <c r="J362" s="50" t="s">
        <v>597</v>
      </c>
      <c r="K362" t="s">
        <v>833</v>
      </c>
      <c r="L362" s="2">
        <v>36570</v>
      </c>
      <c r="M362" t="s">
        <v>53</v>
      </c>
    </row>
    <row r="363" spans="1:13" x14ac:dyDescent="0.2">
      <c r="A363" s="66"/>
      <c r="B363" s="53">
        <v>10249616</v>
      </c>
      <c r="C363" t="s">
        <v>198</v>
      </c>
      <c r="D363" t="s">
        <v>0</v>
      </c>
      <c r="E363" s="44">
        <v>45</v>
      </c>
      <c r="F363" s="51" t="s">
        <v>769</v>
      </c>
      <c r="G363" s="1">
        <v>9883</v>
      </c>
      <c r="H363" t="s">
        <v>4</v>
      </c>
      <c r="I363" t="s">
        <v>31</v>
      </c>
      <c r="J363" s="50" t="s">
        <v>597</v>
      </c>
      <c r="K363" t="s">
        <v>833</v>
      </c>
      <c r="L363" s="2">
        <v>36570</v>
      </c>
      <c r="M363" t="s">
        <v>24</v>
      </c>
    </row>
    <row r="364" spans="1:13" x14ac:dyDescent="0.2">
      <c r="A364" s="66"/>
      <c r="B364" s="53">
        <v>11566382</v>
      </c>
      <c r="C364" t="s">
        <v>237</v>
      </c>
      <c r="D364" t="s">
        <v>0</v>
      </c>
      <c r="E364" s="44">
        <v>41</v>
      </c>
      <c r="F364" s="51" t="s">
        <v>769</v>
      </c>
      <c r="G364" s="1">
        <v>10026</v>
      </c>
      <c r="H364" t="s">
        <v>4</v>
      </c>
      <c r="I364" t="s">
        <v>46</v>
      </c>
      <c r="J364" s="50" t="s">
        <v>597</v>
      </c>
      <c r="K364" t="s">
        <v>833</v>
      </c>
      <c r="L364" s="2">
        <v>36577</v>
      </c>
      <c r="M364" t="s">
        <v>24</v>
      </c>
    </row>
    <row r="365" spans="1:13" x14ac:dyDescent="0.2">
      <c r="A365" s="66"/>
      <c r="B365" s="53">
        <v>11002622</v>
      </c>
      <c r="C365" t="s">
        <v>218</v>
      </c>
      <c r="D365" t="s">
        <v>0</v>
      </c>
      <c r="E365" s="44">
        <v>45</v>
      </c>
      <c r="F365" s="51" t="s">
        <v>769</v>
      </c>
      <c r="G365" s="1">
        <v>24605</v>
      </c>
      <c r="H365" t="s">
        <v>1</v>
      </c>
      <c r="I365" t="s">
        <v>10</v>
      </c>
      <c r="J365" s="50" t="s">
        <v>597</v>
      </c>
      <c r="K365" t="s">
        <v>833</v>
      </c>
      <c r="L365" s="2">
        <v>36586</v>
      </c>
      <c r="M365" t="s">
        <v>53</v>
      </c>
    </row>
    <row r="366" spans="1:13" x14ac:dyDescent="0.2">
      <c r="A366" s="66"/>
      <c r="B366" s="53">
        <v>8325531</v>
      </c>
      <c r="C366" t="s">
        <v>146</v>
      </c>
      <c r="D366" t="s">
        <v>0</v>
      </c>
      <c r="E366" s="44">
        <v>51</v>
      </c>
      <c r="F366" s="51" t="s">
        <v>769</v>
      </c>
      <c r="G366" s="1">
        <v>10210</v>
      </c>
      <c r="H366" t="s">
        <v>4</v>
      </c>
      <c r="I366" t="s">
        <v>46</v>
      </c>
      <c r="J366" s="50" t="s">
        <v>597</v>
      </c>
      <c r="K366" t="s">
        <v>833</v>
      </c>
      <c r="L366" s="2">
        <v>36586</v>
      </c>
      <c r="M366" t="s">
        <v>24</v>
      </c>
    </row>
    <row r="367" spans="1:13" x14ac:dyDescent="0.2">
      <c r="A367" s="66"/>
      <c r="B367" s="53">
        <v>11456769</v>
      </c>
      <c r="C367" t="s">
        <v>232</v>
      </c>
      <c r="D367" t="s">
        <v>0</v>
      </c>
      <c r="E367" s="44">
        <v>43</v>
      </c>
      <c r="F367" s="51" t="s">
        <v>769</v>
      </c>
      <c r="G367" s="1">
        <v>10016</v>
      </c>
      <c r="H367" t="s">
        <v>4</v>
      </c>
      <c r="I367" t="s">
        <v>34</v>
      </c>
      <c r="J367" s="50" t="s">
        <v>597</v>
      </c>
      <c r="K367" t="s">
        <v>833</v>
      </c>
      <c r="L367" s="2">
        <v>36619</v>
      </c>
      <c r="M367" t="s">
        <v>24</v>
      </c>
    </row>
    <row r="368" spans="1:13" x14ac:dyDescent="0.2">
      <c r="A368" s="66"/>
      <c r="B368" s="53">
        <v>10253846</v>
      </c>
      <c r="C368" t="s">
        <v>199</v>
      </c>
      <c r="D368" t="s">
        <v>0</v>
      </c>
      <c r="E368" s="44">
        <v>44</v>
      </c>
      <c r="F368" s="51" t="s">
        <v>769</v>
      </c>
      <c r="G368" s="1">
        <v>10255</v>
      </c>
      <c r="H368" t="s">
        <v>4</v>
      </c>
      <c r="I368" t="s">
        <v>5</v>
      </c>
      <c r="J368" s="50" t="s">
        <v>597</v>
      </c>
      <c r="K368" t="s">
        <v>833</v>
      </c>
      <c r="L368" s="2">
        <v>36640</v>
      </c>
      <c r="M368" t="s">
        <v>24</v>
      </c>
    </row>
    <row r="369" spans="1:13" x14ac:dyDescent="0.2">
      <c r="A369" s="66"/>
      <c r="B369" s="53">
        <v>4216218</v>
      </c>
      <c r="C369" t="s">
        <v>33</v>
      </c>
      <c r="D369" t="s">
        <v>0</v>
      </c>
      <c r="E369" s="44">
        <v>61</v>
      </c>
      <c r="F369" s="51" t="s">
        <v>769</v>
      </c>
      <c r="G369" s="1">
        <v>9930</v>
      </c>
      <c r="H369" t="s">
        <v>4</v>
      </c>
      <c r="I369" t="s">
        <v>34</v>
      </c>
      <c r="J369" s="50" t="s">
        <v>597</v>
      </c>
      <c r="K369" t="s">
        <v>833</v>
      </c>
      <c r="L369" s="2">
        <v>37175</v>
      </c>
      <c r="M369" t="s">
        <v>24</v>
      </c>
    </row>
    <row r="370" spans="1:13" x14ac:dyDescent="0.2">
      <c r="A370" s="66"/>
      <c r="B370" s="53">
        <v>13387079</v>
      </c>
      <c r="C370" t="s">
        <v>337</v>
      </c>
      <c r="D370" t="s">
        <v>0</v>
      </c>
      <c r="E370" s="44">
        <v>54</v>
      </c>
      <c r="F370" s="51" t="s">
        <v>769</v>
      </c>
      <c r="G370" s="1">
        <v>9881</v>
      </c>
      <c r="H370" t="s">
        <v>4</v>
      </c>
      <c r="I370" t="s">
        <v>5</v>
      </c>
      <c r="J370" s="50" t="s">
        <v>597</v>
      </c>
      <c r="K370" t="s">
        <v>833</v>
      </c>
      <c r="L370" s="2">
        <v>37175</v>
      </c>
      <c r="M370" t="s">
        <v>24</v>
      </c>
    </row>
    <row r="371" spans="1:13" x14ac:dyDescent="0.2">
      <c r="A371" s="66"/>
      <c r="B371" s="53">
        <v>8223477</v>
      </c>
      <c r="C371" t="s">
        <v>102</v>
      </c>
      <c r="D371" t="s">
        <v>0</v>
      </c>
      <c r="E371" s="44">
        <v>52</v>
      </c>
      <c r="F371" s="51" t="s">
        <v>769</v>
      </c>
      <c r="G371" s="1">
        <v>9881</v>
      </c>
      <c r="H371" t="s">
        <v>4</v>
      </c>
      <c r="I371" t="s">
        <v>31</v>
      </c>
      <c r="J371" s="50" t="s">
        <v>597</v>
      </c>
      <c r="K371" t="s">
        <v>833</v>
      </c>
      <c r="L371" s="2">
        <v>37839</v>
      </c>
      <c r="M371" t="s">
        <v>24</v>
      </c>
    </row>
    <row r="372" spans="1:13" x14ac:dyDescent="0.2">
      <c r="A372" s="66"/>
      <c r="B372" s="53">
        <v>8252355</v>
      </c>
      <c r="C372" t="s">
        <v>113</v>
      </c>
      <c r="D372" t="s">
        <v>0</v>
      </c>
      <c r="E372" s="44">
        <v>47</v>
      </c>
      <c r="F372" s="51" t="s">
        <v>769</v>
      </c>
      <c r="G372" s="1">
        <v>9788</v>
      </c>
      <c r="H372" t="s">
        <v>4</v>
      </c>
      <c r="I372" t="s">
        <v>46</v>
      </c>
      <c r="J372" s="50" t="s">
        <v>597</v>
      </c>
      <c r="K372" t="s">
        <v>833</v>
      </c>
      <c r="L372" s="2">
        <v>37839</v>
      </c>
      <c r="M372" t="s">
        <v>24</v>
      </c>
    </row>
    <row r="373" spans="1:13" x14ac:dyDescent="0.2">
      <c r="A373" s="66"/>
      <c r="B373" s="53">
        <v>8611015</v>
      </c>
      <c r="C373" t="s">
        <v>168</v>
      </c>
      <c r="D373" t="s">
        <v>0</v>
      </c>
      <c r="E373" s="44">
        <v>48</v>
      </c>
      <c r="F373" s="51" t="s">
        <v>769</v>
      </c>
      <c r="G373" s="1">
        <v>10135</v>
      </c>
      <c r="H373" t="s">
        <v>4</v>
      </c>
      <c r="I373" t="s">
        <v>46</v>
      </c>
      <c r="J373" s="50" t="s">
        <v>597</v>
      </c>
      <c r="K373" t="s">
        <v>833</v>
      </c>
      <c r="L373" s="2">
        <v>37839</v>
      </c>
      <c r="M373" t="s">
        <v>24</v>
      </c>
    </row>
    <row r="374" spans="1:13" x14ac:dyDescent="0.2">
      <c r="A374" s="66"/>
      <c r="B374" s="53">
        <v>9602740</v>
      </c>
      <c r="C374" t="s">
        <v>180</v>
      </c>
      <c r="D374" t="s">
        <v>0</v>
      </c>
      <c r="E374" s="44">
        <v>51</v>
      </c>
      <c r="F374" s="51" t="s">
        <v>769</v>
      </c>
      <c r="G374" s="1">
        <v>9760</v>
      </c>
      <c r="H374" t="s">
        <v>4</v>
      </c>
      <c r="I374" t="s">
        <v>34</v>
      </c>
      <c r="J374" s="50" t="s">
        <v>597</v>
      </c>
      <c r="K374" t="s">
        <v>833</v>
      </c>
      <c r="L374" s="2">
        <v>37839</v>
      </c>
      <c r="M374" t="s">
        <v>24</v>
      </c>
    </row>
    <row r="375" spans="1:13" x14ac:dyDescent="0.2">
      <c r="A375" s="66"/>
      <c r="B375" s="53">
        <v>12426149</v>
      </c>
      <c r="C375" t="s">
        <v>282</v>
      </c>
      <c r="D375" t="s">
        <v>0</v>
      </c>
      <c r="E375" s="44">
        <v>40</v>
      </c>
      <c r="F375" s="51" t="s">
        <v>769</v>
      </c>
      <c r="G375" s="1">
        <v>9817</v>
      </c>
      <c r="H375" t="s">
        <v>4</v>
      </c>
      <c r="I375" t="s">
        <v>34</v>
      </c>
      <c r="J375" s="50" t="s">
        <v>597</v>
      </c>
      <c r="K375" t="s">
        <v>833</v>
      </c>
      <c r="L375" s="2">
        <v>37839</v>
      </c>
      <c r="M375" t="s">
        <v>24</v>
      </c>
    </row>
    <row r="376" spans="1:13" x14ac:dyDescent="0.2">
      <c r="A376" s="66"/>
      <c r="B376" s="53">
        <v>13026910</v>
      </c>
      <c r="C376" t="s">
        <v>320</v>
      </c>
      <c r="D376" t="s">
        <v>0</v>
      </c>
      <c r="E376" s="44">
        <v>40</v>
      </c>
      <c r="F376" s="51" t="s">
        <v>769</v>
      </c>
      <c r="G376" s="1">
        <v>9980</v>
      </c>
      <c r="H376" t="s">
        <v>4</v>
      </c>
      <c r="I376" t="s">
        <v>5</v>
      </c>
      <c r="J376" s="50" t="s">
        <v>597</v>
      </c>
      <c r="K376" t="s">
        <v>833</v>
      </c>
      <c r="L376" s="2">
        <v>37839</v>
      </c>
      <c r="M376" t="s">
        <v>24</v>
      </c>
    </row>
    <row r="377" spans="1:13" x14ac:dyDescent="0.2">
      <c r="A377" s="66"/>
      <c r="B377" s="53">
        <v>8264975</v>
      </c>
      <c r="C377" t="s">
        <v>120</v>
      </c>
      <c r="D377" t="s">
        <v>0</v>
      </c>
      <c r="E377" s="44">
        <v>44</v>
      </c>
      <c r="F377" s="51" t="s">
        <v>769</v>
      </c>
      <c r="G377" s="1">
        <v>9881</v>
      </c>
      <c r="H377" t="s">
        <v>4</v>
      </c>
      <c r="I377" t="s">
        <v>46</v>
      </c>
      <c r="J377" s="50" t="s">
        <v>597</v>
      </c>
      <c r="K377" t="s">
        <v>833</v>
      </c>
      <c r="L377" s="2">
        <v>37991</v>
      </c>
      <c r="M377" t="s">
        <v>24</v>
      </c>
    </row>
    <row r="378" spans="1:13" x14ac:dyDescent="0.2">
      <c r="A378" s="66"/>
      <c r="B378" s="53">
        <v>5093514</v>
      </c>
      <c r="C378" t="s">
        <v>47</v>
      </c>
      <c r="D378" t="s">
        <v>0</v>
      </c>
      <c r="E378" s="44">
        <v>59</v>
      </c>
      <c r="F378" s="51" t="s">
        <v>769</v>
      </c>
      <c r="G378" s="1">
        <v>9500</v>
      </c>
      <c r="H378" t="s">
        <v>4</v>
      </c>
      <c r="I378" t="s">
        <v>31</v>
      </c>
      <c r="J378" s="50" t="s">
        <v>597</v>
      </c>
      <c r="K378" t="s">
        <v>833</v>
      </c>
      <c r="L378" s="2">
        <v>38353</v>
      </c>
      <c r="M378" t="s">
        <v>24</v>
      </c>
    </row>
    <row r="379" spans="1:13" x14ac:dyDescent="0.2">
      <c r="A379" s="66"/>
      <c r="B379" s="53">
        <v>15443752</v>
      </c>
      <c r="C379" t="s">
        <v>447</v>
      </c>
      <c r="D379" t="s">
        <v>0</v>
      </c>
      <c r="E379" s="44">
        <v>40</v>
      </c>
      <c r="F379" s="51" t="s">
        <v>769</v>
      </c>
      <c r="G379" s="1">
        <v>9461</v>
      </c>
      <c r="H379" t="s">
        <v>4</v>
      </c>
      <c r="I379" t="s">
        <v>31</v>
      </c>
      <c r="J379" s="50" t="s">
        <v>597</v>
      </c>
      <c r="K379" t="s">
        <v>833</v>
      </c>
      <c r="L379" s="2">
        <v>39167</v>
      </c>
      <c r="M379" t="s">
        <v>87</v>
      </c>
    </row>
    <row r="380" spans="1:13" x14ac:dyDescent="0.2">
      <c r="A380" s="66"/>
      <c r="B380" s="53">
        <v>9639070</v>
      </c>
      <c r="C380" t="s">
        <v>181</v>
      </c>
      <c r="D380" t="s">
        <v>0</v>
      </c>
      <c r="E380" s="44">
        <v>48</v>
      </c>
      <c r="F380" s="51" t="s">
        <v>769</v>
      </c>
      <c r="G380" s="1">
        <v>9425</v>
      </c>
      <c r="H380" t="s">
        <v>4</v>
      </c>
      <c r="I380" t="s">
        <v>5</v>
      </c>
      <c r="J380" s="50" t="s">
        <v>597</v>
      </c>
      <c r="K380" t="s">
        <v>833</v>
      </c>
      <c r="L380" s="2">
        <v>39231</v>
      </c>
      <c r="M380" t="s">
        <v>24</v>
      </c>
    </row>
    <row r="381" spans="1:13" x14ac:dyDescent="0.2">
      <c r="A381" s="66"/>
      <c r="B381" s="53">
        <v>16253794</v>
      </c>
      <c r="C381" t="s">
        <v>473</v>
      </c>
      <c r="D381" t="s">
        <v>0</v>
      </c>
      <c r="E381" s="44">
        <v>32</v>
      </c>
      <c r="F381" s="51" t="s">
        <v>769</v>
      </c>
      <c r="G381" s="1">
        <v>9425</v>
      </c>
      <c r="H381" t="s">
        <v>4</v>
      </c>
      <c r="I381" t="s">
        <v>31</v>
      </c>
      <c r="J381" s="50" t="s">
        <v>597</v>
      </c>
      <c r="K381" t="s">
        <v>833</v>
      </c>
      <c r="L381" s="2">
        <v>39232</v>
      </c>
      <c r="M381" t="s">
        <v>24</v>
      </c>
    </row>
    <row r="382" spans="1:13" x14ac:dyDescent="0.2">
      <c r="A382" s="66"/>
      <c r="B382" s="53">
        <v>9767131</v>
      </c>
      <c r="C382" t="s">
        <v>184</v>
      </c>
      <c r="D382" t="s">
        <v>0</v>
      </c>
      <c r="E382" s="44">
        <v>51</v>
      </c>
      <c r="F382" s="51" t="s">
        <v>769</v>
      </c>
      <c r="G382" s="1">
        <v>9425</v>
      </c>
      <c r="H382" t="s">
        <v>4</v>
      </c>
      <c r="I382" t="s">
        <v>34</v>
      </c>
      <c r="J382" s="50" t="s">
        <v>597</v>
      </c>
      <c r="K382" t="s">
        <v>833</v>
      </c>
      <c r="L382" s="2">
        <v>39252</v>
      </c>
      <c r="M382" t="s">
        <v>24</v>
      </c>
    </row>
    <row r="383" spans="1:13" x14ac:dyDescent="0.2">
      <c r="A383" s="66"/>
      <c r="B383" s="53">
        <v>10048164</v>
      </c>
      <c r="C383" t="s">
        <v>192</v>
      </c>
      <c r="D383" t="s">
        <v>0</v>
      </c>
      <c r="E383" s="44">
        <v>47</v>
      </c>
      <c r="F383" s="51" t="s">
        <v>769</v>
      </c>
      <c r="G383" s="1">
        <v>21870</v>
      </c>
      <c r="H383" t="s">
        <v>1</v>
      </c>
      <c r="I383" t="s">
        <v>3</v>
      </c>
      <c r="J383" s="50" t="s">
        <v>597</v>
      </c>
      <c r="K383" t="s">
        <v>833</v>
      </c>
      <c r="L383" s="2">
        <v>39302</v>
      </c>
      <c r="M383" t="s">
        <v>53</v>
      </c>
    </row>
    <row r="384" spans="1:13" x14ac:dyDescent="0.2">
      <c r="A384" s="66"/>
      <c r="B384" s="53">
        <v>9581249</v>
      </c>
      <c r="C384" t="s">
        <v>179</v>
      </c>
      <c r="D384" t="s">
        <v>0</v>
      </c>
      <c r="E384" s="44">
        <v>52</v>
      </c>
      <c r="F384" s="51" t="s">
        <v>769</v>
      </c>
      <c r="G384" s="1">
        <v>9875</v>
      </c>
      <c r="H384" t="s">
        <v>4</v>
      </c>
      <c r="I384" t="s">
        <v>34</v>
      </c>
      <c r="J384" s="50" t="s">
        <v>597</v>
      </c>
      <c r="K384" t="s">
        <v>833</v>
      </c>
      <c r="L384" s="2">
        <v>39771</v>
      </c>
      <c r="M384" t="s">
        <v>24</v>
      </c>
    </row>
    <row r="385" spans="1:13" x14ac:dyDescent="0.2">
      <c r="A385" s="66"/>
      <c r="B385" s="53">
        <v>18903148</v>
      </c>
      <c r="C385" t="s">
        <v>566</v>
      </c>
      <c r="D385" t="s">
        <v>0</v>
      </c>
      <c r="E385" s="44">
        <v>27</v>
      </c>
      <c r="F385" s="51" t="s">
        <v>769</v>
      </c>
      <c r="G385" s="1">
        <v>22070</v>
      </c>
      <c r="H385" t="s">
        <v>1</v>
      </c>
      <c r="I385" t="s">
        <v>2</v>
      </c>
      <c r="J385" s="50" t="s">
        <v>597</v>
      </c>
      <c r="K385" t="s">
        <v>833</v>
      </c>
      <c r="L385" s="2">
        <v>40969</v>
      </c>
      <c r="M385" t="s">
        <v>562</v>
      </c>
    </row>
    <row r="386" spans="1:13" x14ac:dyDescent="0.2">
      <c r="A386" s="66"/>
      <c r="B386" s="53">
        <v>4499136</v>
      </c>
      <c r="C386" t="s">
        <v>35</v>
      </c>
      <c r="D386" t="s">
        <v>0</v>
      </c>
      <c r="E386" s="44">
        <v>59</v>
      </c>
      <c r="F386" s="51" t="s">
        <v>769</v>
      </c>
      <c r="G386" s="1">
        <v>40720</v>
      </c>
      <c r="H386" t="s">
        <v>1</v>
      </c>
      <c r="I386" t="s">
        <v>2</v>
      </c>
      <c r="J386" s="50" t="s">
        <v>597</v>
      </c>
      <c r="K386" t="s">
        <v>834</v>
      </c>
      <c r="L386" s="2">
        <v>36619</v>
      </c>
      <c r="M386" t="s">
        <v>704</v>
      </c>
    </row>
    <row r="387" spans="1:13" x14ac:dyDescent="0.2">
      <c r="A387" s="66"/>
      <c r="B387" s="53">
        <v>16755611</v>
      </c>
      <c r="C387" t="s">
        <v>496</v>
      </c>
      <c r="D387" t="s">
        <v>0</v>
      </c>
      <c r="E387" s="44">
        <v>31</v>
      </c>
      <c r="F387" s="51" t="s">
        <v>769</v>
      </c>
      <c r="G387" s="1">
        <v>21150</v>
      </c>
      <c r="H387" t="s">
        <v>1</v>
      </c>
      <c r="I387" t="s">
        <v>2</v>
      </c>
      <c r="J387" s="50" t="s">
        <v>597</v>
      </c>
      <c r="K387" t="s">
        <v>834</v>
      </c>
      <c r="L387" s="2">
        <v>38534</v>
      </c>
      <c r="M387" t="s">
        <v>497</v>
      </c>
    </row>
    <row r="388" spans="1:13" x14ac:dyDescent="0.2">
      <c r="A388" s="66"/>
      <c r="B388" s="53">
        <v>18340456</v>
      </c>
      <c r="C388" t="s">
        <v>551</v>
      </c>
      <c r="D388" t="s">
        <v>0</v>
      </c>
      <c r="E388" s="44">
        <v>27</v>
      </c>
      <c r="F388" s="51" t="s">
        <v>769</v>
      </c>
      <c r="G388" s="1">
        <v>23380</v>
      </c>
      <c r="H388" t="s">
        <v>1</v>
      </c>
      <c r="I388" t="s">
        <v>2</v>
      </c>
      <c r="J388" s="50" t="s">
        <v>597</v>
      </c>
      <c r="K388" t="s">
        <v>834</v>
      </c>
      <c r="L388" s="2">
        <v>40840</v>
      </c>
      <c r="M388" t="s">
        <v>497</v>
      </c>
    </row>
    <row r="389" spans="1:13" x14ac:dyDescent="0.2">
      <c r="A389" s="66"/>
      <c r="B389" s="53">
        <v>10512880</v>
      </c>
      <c r="C389" t="s">
        <v>209</v>
      </c>
      <c r="D389" t="s">
        <v>0</v>
      </c>
      <c r="E389" s="44">
        <v>44</v>
      </c>
      <c r="F389" s="51" t="s">
        <v>769</v>
      </c>
      <c r="G389" s="1">
        <v>21450</v>
      </c>
      <c r="H389" t="s">
        <v>1</v>
      </c>
      <c r="I389" t="s">
        <v>2</v>
      </c>
      <c r="J389" s="50" t="s">
        <v>597</v>
      </c>
      <c r="K389" t="s">
        <v>834</v>
      </c>
      <c r="L389" s="2">
        <v>40924</v>
      </c>
      <c r="M389" t="s">
        <v>53</v>
      </c>
    </row>
    <row r="390" spans="1:13" x14ac:dyDescent="0.2">
      <c r="A390" s="66"/>
      <c r="B390" s="53">
        <v>13208096</v>
      </c>
      <c r="C390" t="s">
        <v>327</v>
      </c>
      <c r="D390" t="s">
        <v>0</v>
      </c>
      <c r="E390" s="44">
        <v>37</v>
      </c>
      <c r="F390" s="51" t="s">
        <v>769</v>
      </c>
      <c r="G390" s="1">
        <v>27475</v>
      </c>
      <c r="H390" t="s">
        <v>1</v>
      </c>
      <c r="I390" t="s">
        <v>2</v>
      </c>
      <c r="J390" s="50" t="s">
        <v>597</v>
      </c>
      <c r="K390" t="s">
        <v>835</v>
      </c>
      <c r="L390" s="2">
        <v>40770</v>
      </c>
      <c r="M390" t="s">
        <v>707</v>
      </c>
    </row>
    <row r="391" spans="1:13" x14ac:dyDescent="0.2">
      <c r="A391" s="66"/>
      <c r="B391" s="53">
        <v>18510981</v>
      </c>
      <c r="C391" t="s">
        <v>556</v>
      </c>
      <c r="D391" t="s">
        <v>0</v>
      </c>
      <c r="E391" s="44">
        <v>26</v>
      </c>
      <c r="F391" s="51" t="s">
        <v>769</v>
      </c>
      <c r="G391" s="1">
        <v>21450</v>
      </c>
      <c r="H391" t="s">
        <v>1</v>
      </c>
      <c r="I391" t="s">
        <v>2</v>
      </c>
      <c r="J391" s="50" t="s">
        <v>597</v>
      </c>
      <c r="K391" t="s">
        <v>835</v>
      </c>
      <c r="L391" s="2">
        <v>40863</v>
      </c>
      <c r="M391" t="s">
        <v>918</v>
      </c>
    </row>
    <row r="392" spans="1:13" x14ac:dyDescent="0.2">
      <c r="A392" s="66"/>
      <c r="B392" s="53">
        <v>19456741</v>
      </c>
      <c r="C392" t="s">
        <v>573</v>
      </c>
      <c r="D392" t="s">
        <v>0</v>
      </c>
      <c r="E392" s="44">
        <v>27</v>
      </c>
      <c r="F392" s="51" t="s">
        <v>769</v>
      </c>
      <c r="G392" s="1">
        <v>9025</v>
      </c>
      <c r="H392" t="s">
        <v>4</v>
      </c>
      <c r="I392" t="s">
        <v>2</v>
      </c>
      <c r="J392" s="50" t="s">
        <v>597</v>
      </c>
      <c r="K392" t="s">
        <v>835</v>
      </c>
      <c r="L392" s="2">
        <v>40863</v>
      </c>
      <c r="M392" t="s">
        <v>706</v>
      </c>
    </row>
    <row r="393" spans="1:13" x14ac:dyDescent="0.2">
      <c r="A393" s="66"/>
      <c r="B393" s="53">
        <v>22330168</v>
      </c>
      <c r="C393" t="s">
        <v>588</v>
      </c>
      <c r="D393" t="s">
        <v>0</v>
      </c>
      <c r="E393" s="44">
        <v>49</v>
      </c>
      <c r="F393" s="51" t="s">
        <v>769</v>
      </c>
      <c r="G393" s="1">
        <v>23650</v>
      </c>
      <c r="H393" t="s">
        <v>1</v>
      </c>
      <c r="I393" t="s">
        <v>2</v>
      </c>
      <c r="J393" s="50" t="s">
        <v>597</v>
      </c>
      <c r="K393" t="s">
        <v>835</v>
      </c>
      <c r="L393" s="2">
        <v>40893</v>
      </c>
      <c r="M393" t="s">
        <v>706</v>
      </c>
    </row>
    <row r="394" spans="1:13" x14ac:dyDescent="0.2">
      <c r="A394" s="66"/>
      <c r="B394" s="53">
        <v>9788241</v>
      </c>
      <c r="C394" t="s">
        <v>185</v>
      </c>
      <c r="D394" t="s">
        <v>0</v>
      </c>
      <c r="E394" s="44">
        <v>47</v>
      </c>
      <c r="F394" s="51" t="s">
        <v>769</v>
      </c>
      <c r="G394" s="1">
        <v>23855</v>
      </c>
      <c r="H394" t="s">
        <v>1</v>
      </c>
      <c r="I394" t="s">
        <v>2</v>
      </c>
      <c r="J394" s="50" t="s">
        <v>597</v>
      </c>
      <c r="K394" t="s">
        <v>835</v>
      </c>
      <c r="L394" s="2">
        <v>41106</v>
      </c>
      <c r="M394" t="s">
        <v>706</v>
      </c>
    </row>
    <row r="395" spans="1:13" x14ac:dyDescent="0.2">
      <c r="A395" s="66"/>
      <c r="B395" s="53">
        <v>19588185</v>
      </c>
      <c r="C395" t="s">
        <v>577</v>
      </c>
      <c r="D395" t="s">
        <v>20</v>
      </c>
      <c r="E395" s="44">
        <v>26</v>
      </c>
      <c r="F395" s="51" t="s">
        <v>769</v>
      </c>
      <c r="G395" s="1">
        <v>23115</v>
      </c>
      <c r="H395" t="s">
        <v>1</v>
      </c>
      <c r="I395" t="s">
        <v>2</v>
      </c>
      <c r="J395" s="50" t="s">
        <v>597</v>
      </c>
      <c r="K395" t="s">
        <v>835</v>
      </c>
      <c r="L395" s="2">
        <v>41137</v>
      </c>
      <c r="M395" t="s">
        <v>705</v>
      </c>
    </row>
    <row r="396" spans="1:13" x14ac:dyDescent="0.2">
      <c r="A396" s="66"/>
      <c r="B396" s="53">
        <v>19675041</v>
      </c>
      <c r="C396" t="s">
        <v>581</v>
      </c>
      <c r="D396" t="s">
        <v>0</v>
      </c>
      <c r="E396" s="44">
        <v>26</v>
      </c>
      <c r="F396" s="51" t="s">
        <v>769</v>
      </c>
      <c r="G396" s="1">
        <v>22115</v>
      </c>
      <c r="H396" t="s">
        <v>1</v>
      </c>
      <c r="I396" t="s">
        <v>2</v>
      </c>
      <c r="J396" s="50" t="s">
        <v>597</v>
      </c>
      <c r="K396" t="s">
        <v>835</v>
      </c>
      <c r="L396" s="2">
        <v>41309</v>
      </c>
      <c r="M396" t="s">
        <v>785</v>
      </c>
    </row>
    <row r="397" spans="1:13" x14ac:dyDescent="0.2">
      <c r="A397" s="66"/>
      <c r="B397" s="53">
        <v>18647816</v>
      </c>
      <c r="C397" t="s">
        <v>561</v>
      </c>
      <c r="D397" t="s">
        <v>0</v>
      </c>
      <c r="E397" s="44">
        <v>29</v>
      </c>
      <c r="F397" s="51" t="s">
        <v>769</v>
      </c>
      <c r="G397" s="1">
        <v>23380</v>
      </c>
      <c r="H397" t="s">
        <v>1</v>
      </c>
      <c r="I397" t="s">
        <v>2</v>
      </c>
      <c r="J397" s="50" t="s">
        <v>597</v>
      </c>
      <c r="K397" t="s">
        <v>835</v>
      </c>
      <c r="L397" s="2">
        <v>41533</v>
      </c>
      <c r="M397" t="s">
        <v>705</v>
      </c>
    </row>
    <row r="398" spans="1:13" x14ac:dyDescent="0.2">
      <c r="A398" s="66"/>
      <c r="B398" s="53">
        <v>15938592</v>
      </c>
      <c r="C398" t="s">
        <v>656</v>
      </c>
      <c r="D398" t="s">
        <v>0</v>
      </c>
      <c r="E398" s="44">
        <v>33</v>
      </c>
      <c r="F398" s="51" t="s">
        <v>769</v>
      </c>
      <c r="G398" s="1">
        <v>26255</v>
      </c>
      <c r="H398" t="s">
        <v>1</v>
      </c>
      <c r="I398" t="s">
        <v>2</v>
      </c>
      <c r="J398" s="50" t="s">
        <v>597</v>
      </c>
      <c r="K398" t="s">
        <v>835</v>
      </c>
      <c r="L398" s="2">
        <v>41715</v>
      </c>
      <c r="M398" t="s">
        <v>784</v>
      </c>
    </row>
    <row r="399" spans="1:13" x14ac:dyDescent="0.2">
      <c r="A399" s="66"/>
      <c r="B399" s="53">
        <v>13369625</v>
      </c>
      <c r="C399" t="s">
        <v>836</v>
      </c>
      <c r="D399" t="s">
        <v>0</v>
      </c>
      <c r="E399" s="44">
        <v>37</v>
      </c>
      <c r="F399" s="51" t="s">
        <v>768</v>
      </c>
      <c r="G399" s="1">
        <v>8535</v>
      </c>
      <c r="H399" t="s">
        <v>4</v>
      </c>
      <c r="I399" t="s">
        <v>2</v>
      </c>
      <c r="J399" s="50" t="s">
        <v>597</v>
      </c>
      <c r="K399" t="s">
        <v>835</v>
      </c>
      <c r="L399" s="2">
        <v>42156</v>
      </c>
      <c r="M399" t="s">
        <v>708</v>
      </c>
    </row>
    <row r="400" spans="1:13" x14ac:dyDescent="0.2">
      <c r="A400" s="66"/>
      <c r="B400" s="53">
        <v>17729539</v>
      </c>
      <c r="C400" t="s">
        <v>919</v>
      </c>
      <c r="D400" t="s">
        <v>0</v>
      </c>
      <c r="E400" s="44">
        <v>30</v>
      </c>
      <c r="F400" s="51" t="s">
        <v>768</v>
      </c>
      <c r="G400" s="1">
        <v>9425</v>
      </c>
      <c r="H400" t="s">
        <v>4</v>
      </c>
      <c r="I400" t="s">
        <v>2</v>
      </c>
      <c r="J400" s="50" t="s">
        <v>597</v>
      </c>
      <c r="K400" t="s">
        <v>835</v>
      </c>
      <c r="L400" s="2">
        <v>42291</v>
      </c>
      <c r="M400" t="s">
        <v>708</v>
      </c>
    </row>
    <row r="401" spans="1:13" x14ac:dyDescent="0.2">
      <c r="A401" s="66"/>
      <c r="B401" s="53">
        <v>7167330</v>
      </c>
      <c r="C401" t="s">
        <v>85</v>
      </c>
      <c r="D401" t="s">
        <v>0</v>
      </c>
      <c r="E401" s="44">
        <v>53</v>
      </c>
      <c r="F401" s="51" t="s">
        <v>769</v>
      </c>
      <c r="G401" s="1">
        <v>28845</v>
      </c>
      <c r="H401" t="s">
        <v>1</v>
      </c>
      <c r="I401" t="s">
        <v>10</v>
      </c>
      <c r="J401" s="50" t="s">
        <v>597</v>
      </c>
      <c r="K401" t="s">
        <v>837</v>
      </c>
      <c r="L401" s="2">
        <v>36640</v>
      </c>
      <c r="M401" t="s">
        <v>7</v>
      </c>
    </row>
    <row r="402" spans="1:13" x14ac:dyDescent="0.2">
      <c r="A402" s="66"/>
      <c r="B402" s="53">
        <v>1141919</v>
      </c>
      <c r="C402" t="s">
        <v>6</v>
      </c>
      <c r="D402" t="s">
        <v>0</v>
      </c>
      <c r="E402" s="44">
        <v>46</v>
      </c>
      <c r="F402" s="51" t="s">
        <v>769</v>
      </c>
      <c r="G402" s="1">
        <v>24570</v>
      </c>
      <c r="H402" t="s">
        <v>1</v>
      </c>
      <c r="I402" t="s">
        <v>3</v>
      </c>
      <c r="J402" s="50" t="s">
        <v>597</v>
      </c>
      <c r="K402" t="s">
        <v>837</v>
      </c>
      <c r="L402" s="2">
        <v>37839</v>
      </c>
      <c r="M402" t="s">
        <v>7</v>
      </c>
    </row>
    <row r="403" spans="1:13" x14ac:dyDescent="0.2">
      <c r="A403" s="66"/>
      <c r="B403" s="53">
        <v>8236354</v>
      </c>
      <c r="C403" t="s">
        <v>104</v>
      </c>
      <c r="D403" t="s">
        <v>0</v>
      </c>
      <c r="E403" s="44">
        <v>51</v>
      </c>
      <c r="F403" s="51" t="s">
        <v>769</v>
      </c>
      <c r="G403" s="1">
        <v>28810</v>
      </c>
      <c r="H403" t="s">
        <v>1</v>
      </c>
      <c r="I403" t="s">
        <v>27</v>
      </c>
      <c r="J403" s="50" t="s">
        <v>597</v>
      </c>
      <c r="K403" t="s">
        <v>837</v>
      </c>
      <c r="L403" s="2">
        <v>37839</v>
      </c>
      <c r="M403" t="s">
        <v>7</v>
      </c>
    </row>
    <row r="404" spans="1:13" x14ac:dyDescent="0.2">
      <c r="A404" s="66"/>
      <c r="B404" s="53">
        <v>8330958</v>
      </c>
      <c r="C404" t="s">
        <v>148</v>
      </c>
      <c r="D404" t="s">
        <v>0</v>
      </c>
      <c r="E404" s="44">
        <v>51</v>
      </c>
      <c r="F404" s="51" t="s">
        <v>769</v>
      </c>
      <c r="G404" s="1">
        <v>24675</v>
      </c>
      <c r="H404" t="s">
        <v>1</v>
      </c>
      <c r="I404" t="s">
        <v>8</v>
      </c>
      <c r="J404" s="50" t="s">
        <v>597</v>
      </c>
      <c r="K404" t="s">
        <v>837</v>
      </c>
      <c r="L404" s="2">
        <v>37839</v>
      </c>
      <c r="M404" t="s">
        <v>7</v>
      </c>
    </row>
    <row r="405" spans="1:13" x14ac:dyDescent="0.2">
      <c r="A405" s="66"/>
      <c r="B405" s="53">
        <v>8271971</v>
      </c>
      <c r="C405" t="s">
        <v>129</v>
      </c>
      <c r="D405" t="s">
        <v>0</v>
      </c>
      <c r="E405" s="44">
        <v>42</v>
      </c>
      <c r="F405" s="51" t="s">
        <v>769</v>
      </c>
      <c r="G405" s="1">
        <v>9759</v>
      </c>
      <c r="H405" t="s">
        <v>4</v>
      </c>
      <c r="I405" t="s">
        <v>34</v>
      </c>
      <c r="J405" s="50" t="s">
        <v>597</v>
      </c>
      <c r="K405" t="s">
        <v>837</v>
      </c>
      <c r="L405" s="2">
        <v>37839</v>
      </c>
      <c r="M405" t="s">
        <v>73</v>
      </c>
    </row>
    <row r="406" spans="1:13" x14ac:dyDescent="0.2">
      <c r="A406" s="66"/>
      <c r="B406" s="53">
        <v>8319811</v>
      </c>
      <c r="C406" t="s">
        <v>144</v>
      </c>
      <c r="D406" t="s">
        <v>0</v>
      </c>
      <c r="E406" s="44">
        <v>53</v>
      </c>
      <c r="F406" s="51" t="s">
        <v>769</v>
      </c>
      <c r="G406" s="1">
        <v>9759</v>
      </c>
      <c r="H406" t="s">
        <v>4</v>
      </c>
      <c r="I406" t="s">
        <v>34</v>
      </c>
      <c r="J406" s="50" t="s">
        <v>597</v>
      </c>
      <c r="K406" t="s">
        <v>837</v>
      </c>
      <c r="L406" s="2">
        <v>37839</v>
      </c>
      <c r="M406" t="s">
        <v>73</v>
      </c>
    </row>
    <row r="407" spans="1:13" x14ac:dyDescent="0.2">
      <c r="A407" s="66"/>
      <c r="B407" s="53">
        <v>9295233</v>
      </c>
      <c r="C407" t="s">
        <v>177</v>
      </c>
      <c r="D407" t="s">
        <v>0</v>
      </c>
      <c r="E407" s="44">
        <v>48</v>
      </c>
      <c r="F407" s="51" t="s">
        <v>769</v>
      </c>
      <c r="G407" s="1">
        <v>9788</v>
      </c>
      <c r="H407" t="s">
        <v>4</v>
      </c>
      <c r="I407" t="s">
        <v>31</v>
      </c>
      <c r="J407" s="50" t="s">
        <v>597</v>
      </c>
      <c r="K407" t="s">
        <v>837</v>
      </c>
      <c r="L407" s="2">
        <v>37839</v>
      </c>
      <c r="M407" t="s">
        <v>73</v>
      </c>
    </row>
    <row r="408" spans="1:13" x14ac:dyDescent="0.2">
      <c r="A408" s="66"/>
      <c r="B408" s="53">
        <v>6767513</v>
      </c>
      <c r="C408" t="s">
        <v>72</v>
      </c>
      <c r="D408" t="s">
        <v>0</v>
      </c>
      <c r="E408" s="44">
        <v>43</v>
      </c>
      <c r="F408" s="51" t="s">
        <v>769</v>
      </c>
      <c r="G408" s="1">
        <v>9838</v>
      </c>
      <c r="H408" t="s">
        <v>4</v>
      </c>
      <c r="I408" t="s">
        <v>46</v>
      </c>
      <c r="J408" s="50" t="s">
        <v>597</v>
      </c>
      <c r="K408" t="s">
        <v>837</v>
      </c>
      <c r="L408" s="2">
        <v>37895</v>
      </c>
      <c r="M408" t="s">
        <v>73</v>
      </c>
    </row>
    <row r="409" spans="1:13" x14ac:dyDescent="0.2">
      <c r="A409" s="66"/>
      <c r="B409" s="53">
        <v>8812306</v>
      </c>
      <c r="C409" t="s">
        <v>172</v>
      </c>
      <c r="D409" t="s">
        <v>0</v>
      </c>
      <c r="E409" s="44">
        <v>49</v>
      </c>
      <c r="F409" s="51" t="s">
        <v>769</v>
      </c>
      <c r="G409" s="1">
        <v>9823</v>
      </c>
      <c r="H409" t="s">
        <v>4</v>
      </c>
      <c r="I409" t="s">
        <v>46</v>
      </c>
      <c r="J409" s="50" t="s">
        <v>597</v>
      </c>
      <c r="K409" t="s">
        <v>837</v>
      </c>
      <c r="L409" s="2">
        <v>37991</v>
      </c>
      <c r="M409" t="s">
        <v>73</v>
      </c>
    </row>
    <row r="410" spans="1:13" x14ac:dyDescent="0.2">
      <c r="A410" s="66"/>
      <c r="B410" s="53">
        <v>8279819</v>
      </c>
      <c r="C410" t="s">
        <v>133</v>
      </c>
      <c r="D410" t="s">
        <v>0</v>
      </c>
      <c r="E410" s="44">
        <v>41</v>
      </c>
      <c r="F410" s="51" t="s">
        <v>769</v>
      </c>
      <c r="G410" s="1">
        <v>9675</v>
      </c>
      <c r="H410" t="s">
        <v>4</v>
      </c>
      <c r="I410" t="s">
        <v>5</v>
      </c>
      <c r="J410" s="50" t="s">
        <v>597</v>
      </c>
      <c r="K410" t="s">
        <v>837</v>
      </c>
      <c r="L410" s="2">
        <v>39307</v>
      </c>
      <c r="M410" t="s">
        <v>73</v>
      </c>
    </row>
    <row r="411" spans="1:13" x14ac:dyDescent="0.2">
      <c r="A411" s="66"/>
      <c r="B411" s="53">
        <v>8260603</v>
      </c>
      <c r="C411" t="s">
        <v>117</v>
      </c>
      <c r="D411" t="s">
        <v>0</v>
      </c>
      <c r="E411" s="44">
        <v>48</v>
      </c>
      <c r="F411" s="51" t="s">
        <v>769</v>
      </c>
      <c r="G411" s="1">
        <v>9375</v>
      </c>
      <c r="H411" t="s">
        <v>4</v>
      </c>
      <c r="I411" t="s">
        <v>31</v>
      </c>
      <c r="J411" s="50" t="s">
        <v>597</v>
      </c>
      <c r="K411" t="s">
        <v>837</v>
      </c>
      <c r="L411" s="2">
        <v>39541</v>
      </c>
      <c r="M411" t="s">
        <v>73</v>
      </c>
    </row>
    <row r="412" spans="1:13" x14ac:dyDescent="0.2">
      <c r="A412" s="66"/>
      <c r="B412" s="53">
        <v>12980804</v>
      </c>
      <c r="C412" t="s">
        <v>319</v>
      </c>
      <c r="D412" t="s">
        <v>0</v>
      </c>
      <c r="E412" s="44">
        <v>37</v>
      </c>
      <c r="F412" s="51" t="s">
        <v>769</v>
      </c>
      <c r="G412" s="1">
        <v>9675</v>
      </c>
      <c r="H412" t="s">
        <v>4</v>
      </c>
      <c r="I412" t="s">
        <v>31</v>
      </c>
      <c r="J412" s="50" t="s">
        <v>597</v>
      </c>
      <c r="K412" t="s">
        <v>837</v>
      </c>
      <c r="L412" s="2">
        <v>39542</v>
      </c>
      <c r="M412" t="s">
        <v>73</v>
      </c>
    </row>
    <row r="413" spans="1:13" x14ac:dyDescent="0.2">
      <c r="A413" s="66"/>
      <c r="B413" s="53">
        <v>14317303</v>
      </c>
      <c r="C413" t="s">
        <v>398</v>
      </c>
      <c r="D413" t="s">
        <v>0</v>
      </c>
      <c r="E413" s="44">
        <v>36</v>
      </c>
      <c r="F413" s="51" t="s">
        <v>769</v>
      </c>
      <c r="G413" s="1">
        <v>9475</v>
      </c>
      <c r="H413" t="s">
        <v>4</v>
      </c>
      <c r="I413" t="s">
        <v>5</v>
      </c>
      <c r="J413" s="50" t="s">
        <v>597</v>
      </c>
      <c r="K413" t="s">
        <v>837</v>
      </c>
      <c r="L413" s="2">
        <v>39577</v>
      </c>
      <c r="M413" t="s">
        <v>73</v>
      </c>
    </row>
    <row r="414" spans="1:13" x14ac:dyDescent="0.2">
      <c r="A414" s="66"/>
      <c r="B414" s="53">
        <v>12564294</v>
      </c>
      <c r="C414" t="s">
        <v>295</v>
      </c>
      <c r="D414" t="s">
        <v>0</v>
      </c>
      <c r="E414" s="44">
        <v>42</v>
      </c>
      <c r="F414" s="51" t="s">
        <v>769</v>
      </c>
      <c r="G414" s="1">
        <v>9375</v>
      </c>
      <c r="H414" t="s">
        <v>4</v>
      </c>
      <c r="I414" t="s">
        <v>5</v>
      </c>
      <c r="J414" s="50" t="s">
        <v>597</v>
      </c>
      <c r="K414" t="s">
        <v>837</v>
      </c>
      <c r="L414" s="2">
        <v>39995</v>
      </c>
      <c r="M414" t="s">
        <v>73</v>
      </c>
    </row>
    <row r="415" spans="1:13" x14ac:dyDescent="0.2">
      <c r="A415" s="67"/>
      <c r="B415" s="53">
        <v>13572664</v>
      </c>
      <c r="C415" t="s">
        <v>339</v>
      </c>
      <c r="D415" t="s">
        <v>0</v>
      </c>
      <c r="E415" s="44">
        <v>36</v>
      </c>
      <c r="F415" s="51" t="s">
        <v>769</v>
      </c>
      <c r="G415" s="1">
        <v>40905</v>
      </c>
      <c r="H415" t="s">
        <v>1</v>
      </c>
      <c r="I415" t="s">
        <v>2</v>
      </c>
      <c r="J415" s="50" t="s">
        <v>597</v>
      </c>
      <c r="K415" t="s">
        <v>837</v>
      </c>
      <c r="L415" s="2">
        <v>40135</v>
      </c>
      <c r="M415" t="s">
        <v>677</v>
      </c>
    </row>
    <row r="416" spans="1:13" x14ac:dyDescent="0.2">
      <c r="A416" s="66"/>
      <c r="B416" s="53">
        <v>16854287</v>
      </c>
      <c r="C416" t="s">
        <v>501</v>
      </c>
      <c r="D416" t="s">
        <v>0</v>
      </c>
      <c r="E416" s="44">
        <v>29</v>
      </c>
      <c r="F416" s="51" t="s">
        <v>769</v>
      </c>
      <c r="G416" s="1">
        <v>24835</v>
      </c>
      <c r="H416" t="s">
        <v>1</v>
      </c>
      <c r="I416" t="s">
        <v>2</v>
      </c>
      <c r="J416" s="50" t="s">
        <v>597</v>
      </c>
      <c r="K416" t="s">
        <v>837</v>
      </c>
      <c r="L416" s="2">
        <v>40742</v>
      </c>
      <c r="M416" t="s">
        <v>892</v>
      </c>
    </row>
    <row r="417" spans="1:13" x14ac:dyDescent="0.2">
      <c r="A417" s="66"/>
      <c r="B417" s="53">
        <v>7528847</v>
      </c>
      <c r="C417" t="s">
        <v>88</v>
      </c>
      <c r="D417" t="s">
        <v>0</v>
      </c>
      <c r="E417" s="44">
        <v>53</v>
      </c>
      <c r="F417" s="51" t="s">
        <v>769</v>
      </c>
      <c r="G417" s="1">
        <v>9375</v>
      </c>
      <c r="H417" t="s">
        <v>4</v>
      </c>
      <c r="I417" t="s">
        <v>46</v>
      </c>
      <c r="J417" s="50" t="s">
        <v>597</v>
      </c>
      <c r="K417" t="s">
        <v>837</v>
      </c>
      <c r="L417" s="2">
        <v>40787</v>
      </c>
      <c r="M417" t="s">
        <v>73</v>
      </c>
    </row>
    <row r="418" spans="1:13" x14ac:dyDescent="0.2">
      <c r="A418" s="66"/>
      <c r="B418" s="53">
        <v>12598864</v>
      </c>
      <c r="C418" t="s">
        <v>301</v>
      </c>
      <c r="D418" t="s">
        <v>0</v>
      </c>
      <c r="E418" s="44">
        <v>40</v>
      </c>
      <c r="F418" s="51" t="s">
        <v>769</v>
      </c>
      <c r="G418" s="1">
        <v>9275</v>
      </c>
      <c r="H418" t="s">
        <v>4</v>
      </c>
      <c r="I418" t="s">
        <v>2</v>
      </c>
      <c r="J418" s="50" t="s">
        <v>597</v>
      </c>
      <c r="K418" t="s">
        <v>837</v>
      </c>
      <c r="L418" s="2">
        <v>40969</v>
      </c>
      <c r="M418" t="s">
        <v>709</v>
      </c>
    </row>
    <row r="419" spans="1:13" x14ac:dyDescent="0.2">
      <c r="A419" s="66"/>
      <c r="B419" s="53">
        <v>11248320</v>
      </c>
      <c r="C419" t="s">
        <v>222</v>
      </c>
      <c r="D419" t="s">
        <v>0</v>
      </c>
      <c r="E419" s="44">
        <v>42</v>
      </c>
      <c r="F419" s="51" t="s">
        <v>769</v>
      </c>
      <c r="G419" s="1">
        <v>43010</v>
      </c>
      <c r="H419" t="s">
        <v>1</v>
      </c>
      <c r="I419" t="s">
        <v>2</v>
      </c>
      <c r="J419" s="50" t="s">
        <v>597</v>
      </c>
      <c r="K419" t="s">
        <v>838</v>
      </c>
      <c r="L419" s="2">
        <v>36801</v>
      </c>
      <c r="M419" t="s">
        <v>712</v>
      </c>
    </row>
    <row r="420" spans="1:13" x14ac:dyDescent="0.2">
      <c r="A420" s="66"/>
      <c r="B420" s="53">
        <v>13690475</v>
      </c>
      <c r="C420" t="s">
        <v>347</v>
      </c>
      <c r="D420" t="s">
        <v>0</v>
      </c>
      <c r="E420" s="44">
        <v>37</v>
      </c>
      <c r="F420" s="51" t="s">
        <v>769</v>
      </c>
      <c r="G420" s="1">
        <v>25405</v>
      </c>
      <c r="H420" t="s">
        <v>1</v>
      </c>
      <c r="I420" t="s">
        <v>10</v>
      </c>
      <c r="J420" s="50" t="s">
        <v>597</v>
      </c>
      <c r="K420" t="s">
        <v>839</v>
      </c>
      <c r="L420" s="2">
        <v>36542</v>
      </c>
      <c r="M420" t="s">
        <v>197</v>
      </c>
    </row>
    <row r="421" spans="1:13" x14ac:dyDescent="0.2">
      <c r="A421" s="66"/>
      <c r="B421" s="53">
        <v>4550245</v>
      </c>
      <c r="C421" t="s">
        <v>39</v>
      </c>
      <c r="D421" t="s">
        <v>0</v>
      </c>
      <c r="E421" s="44">
        <v>59</v>
      </c>
      <c r="F421" s="51" t="s">
        <v>769</v>
      </c>
      <c r="G421" s="1">
        <v>10184</v>
      </c>
      <c r="H421" t="s">
        <v>4</v>
      </c>
      <c r="I421" t="s">
        <v>2</v>
      </c>
      <c r="J421" s="50" t="s">
        <v>597</v>
      </c>
      <c r="K421" t="s">
        <v>839</v>
      </c>
      <c r="L421" s="2">
        <v>37148</v>
      </c>
      <c r="M421" t="s">
        <v>32</v>
      </c>
    </row>
    <row r="422" spans="1:13" x14ac:dyDescent="0.2">
      <c r="A422" s="66"/>
      <c r="B422" s="53">
        <v>10188393</v>
      </c>
      <c r="C422" t="s">
        <v>196</v>
      </c>
      <c r="D422" t="s">
        <v>0</v>
      </c>
      <c r="E422" s="44">
        <v>44</v>
      </c>
      <c r="F422" s="51" t="s">
        <v>769</v>
      </c>
      <c r="G422" s="1">
        <v>25405</v>
      </c>
      <c r="H422" t="s">
        <v>1</v>
      </c>
      <c r="I422" t="s">
        <v>8</v>
      </c>
      <c r="J422" s="50" t="s">
        <v>597</v>
      </c>
      <c r="K422" t="s">
        <v>839</v>
      </c>
      <c r="L422" s="2">
        <v>37839</v>
      </c>
      <c r="M422" t="s">
        <v>197</v>
      </c>
    </row>
    <row r="423" spans="1:13" x14ac:dyDescent="0.2">
      <c r="A423" s="66"/>
      <c r="B423" s="53">
        <v>12330285</v>
      </c>
      <c r="C423" t="s">
        <v>280</v>
      </c>
      <c r="D423" t="s">
        <v>0</v>
      </c>
      <c r="E423" s="44">
        <v>38</v>
      </c>
      <c r="F423" s="51" t="s">
        <v>769</v>
      </c>
      <c r="G423" s="1">
        <v>24300</v>
      </c>
      <c r="H423" t="s">
        <v>1</v>
      </c>
      <c r="I423" t="s">
        <v>3</v>
      </c>
      <c r="J423" s="50" t="s">
        <v>597</v>
      </c>
      <c r="K423" t="s">
        <v>839</v>
      </c>
      <c r="L423" s="2">
        <v>37839</v>
      </c>
      <c r="M423" t="s">
        <v>197</v>
      </c>
    </row>
    <row r="424" spans="1:13" x14ac:dyDescent="0.2">
      <c r="A424" s="66"/>
      <c r="B424" s="53">
        <v>4501558</v>
      </c>
      <c r="C424" t="s">
        <v>36</v>
      </c>
      <c r="D424" t="s">
        <v>0</v>
      </c>
      <c r="E424" s="44">
        <v>59</v>
      </c>
      <c r="F424" s="51" t="s">
        <v>769</v>
      </c>
      <c r="G424" s="1">
        <v>10297</v>
      </c>
      <c r="H424" t="s">
        <v>4</v>
      </c>
      <c r="I424" t="s">
        <v>34</v>
      </c>
      <c r="J424" s="50" t="s">
        <v>597</v>
      </c>
      <c r="K424" t="s">
        <v>839</v>
      </c>
      <c r="L424" s="2">
        <v>37839</v>
      </c>
      <c r="M424" t="s">
        <v>32</v>
      </c>
    </row>
    <row r="425" spans="1:13" x14ac:dyDescent="0.2">
      <c r="A425" s="66"/>
      <c r="B425" s="53">
        <v>8240289</v>
      </c>
      <c r="C425" t="s">
        <v>107</v>
      </c>
      <c r="D425" t="s">
        <v>0</v>
      </c>
      <c r="E425" s="44">
        <v>50</v>
      </c>
      <c r="F425" s="51" t="s">
        <v>769</v>
      </c>
      <c r="G425" s="1">
        <v>9875</v>
      </c>
      <c r="H425" t="s">
        <v>4</v>
      </c>
      <c r="I425" t="s">
        <v>5</v>
      </c>
      <c r="J425" s="50" t="s">
        <v>597</v>
      </c>
      <c r="K425" t="s">
        <v>839</v>
      </c>
      <c r="L425" s="2">
        <v>37839</v>
      </c>
      <c r="M425" t="s">
        <v>32</v>
      </c>
    </row>
    <row r="426" spans="1:13" x14ac:dyDescent="0.2">
      <c r="A426" s="66"/>
      <c r="B426" s="53">
        <v>8305604</v>
      </c>
      <c r="C426" t="s">
        <v>142</v>
      </c>
      <c r="D426" t="s">
        <v>0</v>
      </c>
      <c r="E426" s="44">
        <v>55</v>
      </c>
      <c r="F426" s="51" t="s">
        <v>769</v>
      </c>
      <c r="G426" s="1">
        <v>9801</v>
      </c>
      <c r="H426" t="s">
        <v>4</v>
      </c>
      <c r="I426" t="s">
        <v>46</v>
      </c>
      <c r="J426" s="50" t="s">
        <v>597</v>
      </c>
      <c r="K426" t="s">
        <v>839</v>
      </c>
      <c r="L426" s="2">
        <v>37839</v>
      </c>
      <c r="M426" t="s">
        <v>32</v>
      </c>
    </row>
    <row r="427" spans="1:13" x14ac:dyDescent="0.2">
      <c r="A427" s="66"/>
      <c r="B427" s="53">
        <v>8349939</v>
      </c>
      <c r="C427" t="s">
        <v>157</v>
      </c>
      <c r="D427" t="s">
        <v>0</v>
      </c>
      <c r="E427" s="44">
        <v>45</v>
      </c>
      <c r="F427" s="51" t="s">
        <v>769</v>
      </c>
      <c r="G427" s="1">
        <v>9727</v>
      </c>
      <c r="H427" t="s">
        <v>4</v>
      </c>
      <c r="I427" t="s">
        <v>34</v>
      </c>
      <c r="J427" s="50" t="s">
        <v>597</v>
      </c>
      <c r="K427" t="s">
        <v>839</v>
      </c>
      <c r="L427" s="2">
        <v>37839</v>
      </c>
      <c r="M427" t="s">
        <v>32</v>
      </c>
    </row>
    <row r="428" spans="1:13" x14ac:dyDescent="0.2">
      <c r="A428" s="66"/>
      <c r="B428" s="53">
        <v>11908666</v>
      </c>
      <c r="C428" t="s">
        <v>254</v>
      </c>
      <c r="D428" t="s">
        <v>0</v>
      </c>
      <c r="E428" s="44">
        <v>42</v>
      </c>
      <c r="F428" s="51" t="s">
        <v>769</v>
      </c>
      <c r="G428" s="1">
        <v>9756</v>
      </c>
      <c r="H428" t="s">
        <v>4</v>
      </c>
      <c r="I428" t="s">
        <v>31</v>
      </c>
      <c r="J428" s="50" t="s">
        <v>597</v>
      </c>
      <c r="K428" t="s">
        <v>839</v>
      </c>
      <c r="L428" s="2">
        <v>37839</v>
      </c>
      <c r="M428" t="s">
        <v>32</v>
      </c>
    </row>
    <row r="429" spans="1:13" x14ac:dyDescent="0.2">
      <c r="A429" s="66"/>
      <c r="B429" s="53">
        <v>14136248</v>
      </c>
      <c r="C429" t="s">
        <v>380</v>
      </c>
      <c r="D429" t="s">
        <v>0</v>
      </c>
      <c r="E429" s="44">
        <v>35</v>
      </c>
      <c r="F429" s="51" t="s">
        <v>769</v>
      </c>
      <c r="G429" s="1">
        <v>9752</v>
      </c>
      <c r="H429" t="s">
        <v>4</v>
      </c>
      <c r="I429" t="s">
        <v>34</v>
      </c>
      <c r="J429" s="50" t="s">
        <v>597</v>
      </c>
      <c r="K429" t="s">
        <v>839</v>
      </c>
      <c r="L429" s="2">
        <v>37839</v>
      </c>
      <c r="M429" t="s">
        <v>32</v>
      </c>
    </row>
    <row r="430" spans="1:13" x14ac:dyDescent="0.2">
      <c r="A430" s="66"/>
      <c r="B430" s="53">
        <v>13657023</v>
      </c>
      <c r="C430" t="s">
        <v>343</v>
      </c>
      <c r="D430" t="s">
        <v>0</v>
      </c>
      <c r="E430" s="44">
        <v>37</v>
      </c>
      <c r="F430" s="51" t="s">
        <v>769</v>
      </c>
      <c r="G430" s="1">
        <v>27460</v>
      </c>
      <c r="H430" t="s">
        <v>1</v>
      </c>
      <c r="I430" t="s">
        <v>27</v>
      </c>
      <c r="J430" s="50" t="s">
        <v>597</v>
      </c>
      <c r="K430" t="s">
        <v>839</v>
      </c>
      <c r="L430" s="2">
        <v>37991</v>
      </c>
      <c r="M430" t="s">
        <v>197</v>
      </c>
    </row>
    <row r="431" spans="1:13" x14ac:dyDescent="0.2">
      <c r="A431" s="66"/>
      <c r="B431" s="53">
        <v>12867071</v>
      </c>
      <c r="C431" t="s">
        <v>314</v>
      </c>
      <c r="D431" t="s">
        <v>0</v>
      </c>
      <c r="E431" s="44">
        <v>40</v>
      </c>
      <c r="F431" s="51" t="s">
        <v>769</v>
      </c>
      <c r="G431" s="1">
        <v>37175</v>
      </c>
      <c r="H431" t="s">
        <v>1</v>
      </c>
      <c r="I431" t="s">
        <v>2</v>
      </c>
      <c r="J431" s="50" t="s">
        <v>597</v>
      </c>
      <c r="K431" t="s">
        <v>839</v>
      </c>
      <c r="L431" s="2">
        <v>38169</v>
      </c>
      <c r="M431" t="s">
        <v>710</v>
      </c>
    </row>
    <row r="432" spans="1:13" x14ac:dyDescent="0.2">
      <c r="A432" s="66"/>
      <c r="B432" s="53">
        <v>23653006</v>
      </c>
      <c r="C432" t="s">
        <v>591</v>
      </c>
      <c r="D432" t="s">
        <v>0</v>
      </c>
      <c r="E432" s="44">
        <v>26</v>
      </c>
      <c r="F432" s="51" t="s">
        <v>769</v>
      </c>
      <c r="G432" s="1">
        <v>9275</v>
      </c>
      <c r="H432" t="s">
        <v>4</v>
      </c>
      <c r="I432" t="s">
        <v>46</v>
      </c>
      <c r="J432" s="50" t="s">
        <v>597</v>
      </c>
      <c r="K432" t="s">
        <v>839</v>
      </c>
      <c r="L432" s="2">
        <v>38929</v>
      </c>
      <c r="M432" t="s">
        <v>32</v>
      </c>
    </row>
    <row r="433" spans="1:13" x14ac:dyDescent="0.2">
      <c r="A433" s="66"/>
      <c r="B433" s="53">
        <v>4177920</v>
      </c>
      <c r="C433" t="s">
        <v>30</v>
      </c>
      <c r="D433" t="s">
        <v>0</v>
      </c>
      <c r="E433" s="44">
        <v>53</v>
      </c>
      <c r="F433" s="51" t="s">
        <v>769</v>
      </c>
      <c r="G433" s="1">
        <v>9875</v>
      </c>
      <c r="H433" t="s">
        <v>4</v>
      </c>
      <c r="I433" t="s">
        <v>31</v>
      </c>
      <c r="J433" s="50" t="s">
        <v>597</v>
      </c>
      <c r="K433" t="s">
        <v>839</v>
      </c>
      <c r="L433" s="2">
        <v>39022</v>
      </c>
      <c r="M433" t="s">
        <v>32</v>
      </c>
    </row>
    <row r="434" spans="1:13" x14ac:dyDescent="0.2">
      <c r="A434" s="66"/>
      <c r="B434" s="53">
        <v>12574691</v>
      </c>
      <c r="C434" t="s">
        <v>297</v>
      </c>
      <c r="D434" t="s">
        <v>0</v>
      </c>
      <c r="E434" s="44">
        <v>39</v>
      </c>
      <c r="F434" s="51" t="s">
        <v>769</v>
      </c>
      <c r="G434" s="1">
        <v>9425</v>
      </c>
      <c r="H434" t="s">
        <v>4</v>
      </c>
      <c r="I434" t="s">
        <v>5</v>
      </c>
      <c r="J434" s="50" t="s">
        <v>597</v>
      </c>
      <c r="K434" t="s">
        <v>839</v>
      </c>
      <c r="L434" s="2">
        <v>39356</v>
      </c>
      <c r="M434" t="s">
        <v>32</v>
      </c>
    </row>
    <row r="435" spans="1:13" x14ac:dyDescent="0.2">
      <c r="A435" s="66"/>
      <c r="B435" s="53">
        <v>19456557</v>
      </c>
      <c r="C435" t="s">
        <v>572</v>
      </c>
      <c r="D435" t="s">
        <v>0</v>
      </c>
      <c r="E435" s="44">
        <v>27</v>
      </c>
      <c r="F435" s="51" t="s">
        <v>769</v>
      </c>
      <c r="G435" s="1">
        <v>9275</v>
      </c>
      <c r="H435" t="s">
        <v>4</v>
      </c>
      <c r="I435" t="s">
        <v>31</v>
      </c>
      <c r="J435" s="50" t="s">
        <v>597</v>
      </c>
      <c r="K435" t="s">
        <v>839</v>
      </c>
      <c r="L435" s="2">
        <v>39696</v>
      </c>
      <c r="M435" t="s">
        <v>32</v>
      </c>
    </row>
    <row r="436" spans="1:13" x14ac:dyDescent="0.2">
      <c r="A436" s="66"/>
      <c r="B436" s="53">
        <v>17401413</v>
      </c>
      <c r="C436" t="s">
        <v>519</v>
      </c>
      <c r="D436" t="s">
        <v>0</v>
      </c>
      <c r="E436" s="44">
        <v>31</v>
      </c>
      <c r="F436" s="51" t="s">
        <v>769</v>
      </c>
      <c r="G436" s="1">
        <v>9275</v>
      </c>
      <c r="H436" t="s">
        <v>4</v>
      </c>
      <c r="I436" t="s">
        <v>46</v>
      </c>
      <c r="J436" s="50" t="s">
        <v>597</v>
      </c>
      <c r="K436" t="s">
        <v>839</v>
      </c>
      <c r="L436" s="2">
        <v>39989</v>
      </c>
      <c r="M436" t="s">
        <v>32</v>
      </c>
    </row>
    <row r="437" spans="1:13" x14ac:dyDescent="0.2">
      <c r="A437" s="66"/>
      <c r="B437" s="53">
        <v>14765165</v>
      </c>
      <c r="C437" t="s">
        <v>418</v>
      </c>
      <c r="D437" t="s">
        <v>0</v>
      </c>
      <c r="E437" s="44">
        <v>36</v>
      </c>
      <c r="F437" s="51" t="s">
        <v>769</v>
      </c>
      <c r="G437" s="1">
        <v>9275</v>
      </c>
      <c r="H437" t="s">
        <v>4</v>
      </c>
      <c r="I437" t="s">
        <v>31</v>
      </c>
      <c r="J437" s="50" t="s">
        <v>597</v>
      </c>
      <c r="K437" t="s">
        <v>839</v>
      </c>
      <c r="L437" s="2">
        <v>40473</v>
      </c>
      <c r="M437" t="s">
        <v>32</v>
      </c>
    </row>
    <row r="438" spans="1:13" x14ac:dyDescent="0.2">
      <c r="A438" s="66"/>
      <c r="B438" s="53">
        <v>16798355</v>
      </c>
      <c r="C438" t="s">
        <v>745</v>
      </c>
      <c r="D438" t="s">
        <v>0</v>
      </c>
      <c r="E438" s="44">
        <v>32</v>
      </c>
      <c r="F438" s="51" t="s">
        <v>768</v>
      </c>
      <c r="G438" s="1">
        <v>21060</v>
      </c>
      <c r="H438" t="s">
        <v>1</v>
      </c>
      <c r="I438" t="s">
        <v>2</v>
      </c>
      <c r="J438" s="50" t="s">
        <v>597</v>
      </c>
      <c r="K438" t="s">
        <v>839</v>
      </c>
      <c r="L438" s="2">
        <v>42037</v>
      </c>
      <c r="M438" t="s">
        <v>746</v>
      </c>
    </row>
    <row r="439" spans="1:13" x14ac:dyDescent="0.2">
      <c r="A439" s="66"/>
      <c r="B439" s="53">
        <v>14213753</v>
      </c>
      <c r="C439" t="s">
        <v>385</v>
      </c>
      <c r="D439" t="s">
        <v>0</v>
      </c>
      <c r="E439" s="44">
        <v>35</v>
      </c>
      <c r="F439" s="51" t="s">
        <v>769</v>
      </c>
      <c r="G439" s="1">
        <v>24300</v>
      </c>
      <c r="H439" t="s">
        <v>1</v>
      </c>
      <c r="I439" t="s">
        <v>8</v>
      </c>
      <c r="J439" s="50" t="s">
        <v>597</v>
      </c>
      <c r="K439" t="s">
        <v>840</v>
      </c>
      <c r="L439" s="2">
        <v>37148</v>
      </c>
      <c r="M439" t="s">
        <v>111</v>
      </c>
    </row>
    <row r="440" spans="1:13" x14ac:dyDescent="0.2">
      <c r="A440" s="66"/>
      <c r="B440" s="53">
        <v>8246202</v>
      </c>
      <c r="C440" t="s">
        <v>110</v>
      </c>
      <c r="D440" t="s">
        <v>0</v>
      </c>
      <c r="E440" s="44">
        <v>46</v>
      </c>
      <c r="F440" s="51" t="s">
        <v>769</v>
      </c>
      <c r="G440" s="1">
        <v>31785</v>
      </c>
      <c r="H440" t="s">
        <v>1</v>
      </c>
      <c r="I440" t="s">
        <v>2</v>
      </c>
      <c r="J440" s="50" t="s">
        <v>597</v>
      </c>
      <c r="K440" t="s">
        <v>840</v>
      </c>
      <c r="L440" s="2">
        <v>38203</v>
      </c>
      <c r="M440" t="s">
        <v>711</v>
      </c>
    </row>
    <row r="441" spans="1:13" x14ac:dyDescent="0.2">
      <c r="A441" s="66"/>
      <c r="B441" s="53">
        <v>17223462</v>
      </c>
      <c r="C441" t="s">
        <v>511</v>
      </c>
      <c r="D441" t="s">
        <v>20</v>
      </c>
      <c r="E441" s="44">
        <v>29</v>
      </c>
      <c r="F441" s="51" t="s">
        <v>769</v>
      </c>
      <c r="G441" s="1">
        <v>24730</v>
      </c>
      <c r="H441" t="s">
        <v>1</v>
      </c>
      <c r="I441" t="s">
        <v>2</v>
      </c>
      <c r="J441" s="50" t="s">
        <v>597</v>
      </c>
      <c r="K441" t="s">
        <v>840</v>
      </c>
      <c r="L441" s="2">
        <v>40485</v>
      </c>
      <c r="M441" t="s">
        <v>111</v>
      </c>
    </row>
    <row r="442" spans="1:13" x14ac:dyDescent="0.2">
      <c r="A442" s="66"/>
      <c r="B442" s="53">
        <v>18832832</v>
      </c>
      <c r="C442" t="s">
        <v>564</v>
      </c>
      <c r="D442" t="s">
        <v>0</v>
      </c>
      <c r="E442" s="44">
        <v>27</v>
      </c>
      <c r="F442" s="51" t="s">
        <v>769</v>
      </c>
      <c r="G442" s="1">
        <v>21455</v>
      </c>
      <c r="H442" t="s">
        <v>1</v>
      </c>
      <c r="I442" t="s">
        <v>3</v>
      </c>
      <c r="J442" s="50" t="s">
        <v>597</v>
      </c>
      <c r="K442" t="s">
        <v>840</v>
      </c>
      <c r="L442" s="2">
        <v>40840</v>
      </c>
      <c r="M442" t="s">
        <v>111</v>
      </c>
    </row>
    <row r="443" spans="1:13" x14ac:dyDescent="0.2">
      <c r="A443" s="66"/>
      <c r="B443" s="53">
        <v>17410874</v>
      </c>
      <c r="C443" t="s">
        <v>520</v>
      </c>
      <c r="D443" t="s">
        <v>20</v>
      </c>
      <c r="E443" s="44">
        <v>28</v>
      </c>
      <c r="F443" s="51" t="s">
        <v>769</v>
      </c>
      <c r="G443" s="1">
        <v>21730</v>
      </c>
      <c r="H443" t="s">
        <v>1</v>
      </c>
      <c r="I443" t="s">
        <v>2</v>
      </c>
      <c r="J443" s="50" t="s">
        <v>597</v>
      </c>
      <c r="K443" t="s">
        <v>840</v>
      </c>
      <c r="L443" s="2">
        <v>41426</v>
      </c>
      <c r="M443" t="s">
        <v>111</v>
      </c>
    </row>
    <row r="444" spans="1:13" x14ac:dyDescent="0.2">
      <c r="A444" s="66"/>
      <c r="B444" s="53">
        <v>18128591</v>
      </c>
      <c r="C444" t="s">
        <v>764</v>
      </c>
      <c r="D444" t="s">
        <v>0</v>
      </c>
      <c r="E444" s="44">
        <v>29</v>
      </c>
      <c r="F444" s="51" t="s">
        <v>768</v>
      </c>
      <c r="G444" s="1">
        <v>21450</v>
      </c>
      <c r="H444" t="s">
        <v>1</v>
      </c>
      <c r="I444" t="s">
        <v>10</v>
      </c>
      <c r="J444" s="50" t="s">
        <v>597</v>
      </c>
      <c r="K444" t="s">
        <v>840</v>
      </c>
      <c r="L444" s="2">
        <v>42065</v>
      </c>
      <c r="M444" t="s">
        <v>111</v>
      </c>
    </row>
    <row r="445" spans="1:13" x14ac:dyDescent="0.2">
      <c r="A445" s="66"/>
      <c r="B445" s="53">
        <v>81725531</v>
      </c>
      <c r="C445" t="s">
        <v>594</v>
      </c>
      <c r="D445" t="s">
        <v>0</v>
      </c>
      <c r="E445" s="44">
        <v>45</v>
      </c>
      <c r="F445" s="51" t="s">
        <v>769</v>
      </c>
      <c r="G445" s="1">
        <v>34645</v>
      </c>
      <c r="H445" t="s">
        <v>1</v>
      </c>
      <c r="I445" t="s">
        <v>2</v>
      </c>
      <c r="J445" s="50" t="s">
        <v>597</v>
      </c>
      <c r="K445" t="s">
        <v>841</v>
      </c>
      <c r="L445" s="2">
        <v>36465</v>
      </c>
      <c r="M445" t="s">
        <v>717</v>
      </c>
    </row>
    <row r="446" spans="1:13" x14ac:dyDescent="0.2">
      <c r="A446" s="66"/>
      <c r="B446" s="53">
        <v>10969552</v>
      </c>
      <c r="C446" s="65" t="s">
        <v>215</v>
      </c>
      <c r="D446" t="s">
        <v>20</v>
      </c>
      <c r="E446" s="44">
        <v>43</v>
      </c>
      <c r="F446" s="51" t="s">
        <v>769</v>
      </c>
      <c r="G446" s="1">
        <v>43580</v>
      </c>
      <c r="H446" t="s">
        <v>1</v>
      </c>
      <c r="I446" t="s">
        <v>2</v>
      </c>
      <c r="J446" s="50" t="s">
        <v>597</v>
      </c>
      <c r="K446" t="s">
        <v>841</v>
      </c>
      <c r="L446" s="2">
        <v>38100</v>
      </c>
      <c r="M446" t="s">
        <v>216</v>
      </c>
    </row>
    <row r="447" spans="1:13" x14ac:dyDescent="0.2">
      <c r="A447" s="66"/>
      <c r="B447" s="53">
        <v>18401654</v>
      </c>
      <c r="C447" s="65" t="s">
        <v>555</v>
      </c>
      <c r="D447" t="s">
        <v>0</v>
      </c>
      <c r="E447" s="44">
        <v>29</v>
      </c>
      <c r="F447" s="51" t="s">
        <v>769</v>
      </c>
      <c r="G447" s="1">
        <v>26510</v>
      </c>
      <c r="H447" t="s">
        <v>1</v>
      </c>
      <c r="I447" t="s">
        <v>2</v>
      </c>
      <c r="J447" s="50" t="s">
        <v>597</v>
      </c>
      <c r="K447" t="s">
        <v>841</v>
      </c>
      <c r="L447" s="2">
        <v>40148</v>
      </c>
      <c r="M447" t="s">
        <v>391</v>
      </c>
    </row>
    <row r="448" spans="1:13" x14ac:dyDescent="0.2">
      <c r="A448" s="66"/>
      <c r="B448" s="53">
        <v>16545220</v>
      </c>
      <c r="C448" s="65" t="s">
        <v>490</v>
      </c>
      <c r="D448" t="s">
        <v>20</v>
      </c>
      <c r="E448" s="44">
        <v>33</v>
      </c>
      <c r="F448" s="51" t="s">
        <v>769</v>
      </c>
      <c r="G448" s="1">
        <v>24625</v>
      </c>
      <c r="H448" t="s">
        <v>1</v>
      </c>
      <c r="I448" t="s">
        <v>2</v>
      </c>
      <c r="J448" s="50" t="s">
        <v>597</v>
      </c>
      <c r="K448" t="s">
        <v>841</v>
      </c>
      <c r="L448" s="2">
        <v>40787</v>
      </c>
      <c r="M448" t="s">
        <v>391</v>
      </c>
    </row>
    <row r="449" spans="1:13" x14ac:dyDescent="0.2">
      <c r="A449" s="66"/>
      <c r="B449" s="53">
        <v>17636053</v>
      </c>
      <c r="C449" t="s">
        <v>530</v>
      </c>
      <c r="D449" t="s">
        <v>20</v>
      </c>
      <c r="E449" s="44">
        <v>28</v>
      </c>
      <c r="F449" s="51" t="s">
        <v>769</v>
      </c>
      <c r="G449" s="1">
        <v>21985</v>
      </c>
      <c r="H449" t="s">
        <v>1</v>
      </c>
      <c r="I449" t="s">
        <v>2</v>
      </c>
      <c r="J449" s="50" t="s">
        <v>597</v>
      </c>
      <c r="K449" t="s">
        <v>841</v>
      </c>
      <c r="L449" s="2">
        <v>40924</v>
      </c>
      <c r="M449" t="s">
        <v>391</v>
      </c>
    </row>
    <row r="450" spans="1:13" x14ac:dyDescent="0.2">
      <c r="A450" s="66"/>
      <c r="B450" s="53">
        <v>15553904</v>
      </c>
      <c r="C450" t="s">
        <v>450</v>
      </c>
      <c r="D450" t="s">
        <v>0</v>
      </c>
      <c r="E450" s="44">
        <v>32</v>
      </c>
      <c r="F450" s="51" t="s">
        <v>769</v>
      </c>
      <c r="G450" s="1">
        <v>23280</v>
      </c>
      <c r="H450" t="s">
        <v>1</v>
      </c>
      <c r="I450" t="s">
        <v>2</v>
      </c>
      <c r="J450" s="50" t="s">
        <v>597</v>
      </c>
      <c r="K450" t="s">
        <v>841</v>
      </c>
      <c r="L450" s="2">
        <v>40969</v>
      </c>
      <c r="M450" t="s">
        <v>714</v>
      </c>
    </row>
    <row r="451" spans="1:13" x14ac:dyDescent="0.2">
      <c r="A451" s="66"/>
      <c r="B451" s="53">
        <v>16181785</v>
      </c>
      <c r="C451" t="s">
        <v>470</v>
      </c>
      <c r="D451" t="s">
        <v>0</v>
      </c>
      <c r="E451" s="44">
        <v>33</v>
      </c>
      <c r="F451" s="51" t="s">
        <v>769</v>
      </c>
      <c r="G451" s="1">
        <v>22730</v>
      </c>
      <c r="H451" t="s">
        <v>1</v>
      </c>
      <c r="I451" t="s">
        <v>2</v>
      </c>
      <c r="J451" s="50" t="s">
        <v>597</v>
      </c>
      <c r="K451" t="s">
        <v>841</v>
      </c>
      <c r="L451" s="2">
        <v>41078</v>
      </c>
      <c r="M451" t="s">
        <v>713</v>
      </c>
    </row>
    <row r="452" spans="1:13" x14ac:dyDescent="0.2">
      <c r="A452" s="66"/>
      <c r="B452" s="53">
        <v>15386640</v>
      </c>
      <c r="C452" t="s">
        <v>446</v>
      </c>
      <c r="D452" t="s">
        <v>0</v>
      </c>
      <c r="E452" s="44">
        <v>34</v>
      </c>
      <c r="F452" s="51" t="s">
        <v>769</v>
      </c>
      <c r="G452" s="1">
        <v>25000</v>
      </c>
      <c r="H452" t="s">
        <v>1</v>
      </c>
      <c r="I452" t="s">
        <v>2</v>
      </c>
      <c r="J452" s="50" t="s">
        <v>597</v>
      </c>
      <c r="K452" t="s">
        <v>841</v>
      </c>
      <c r="L452" s="2">
        <v>41082</v>
      </c>
      <c r="M452" t="s">
        <v>893</v>
      </c>
    </row>
    <row r="453" spans="1:13" x14ac:dyDescent="0.2">
      <c r="A453" s="66"/>
      <c r="B453" s="53">
        <v>17360490</v>
      </c>
      <c r="C453" t="s">
        <v>516</v>
      </c>
      <c r="D453" t="s">
        <v>0</v>
      </c>
      <c r="E453" s="44">
        <v>30</v>
      </c>
      <c r="F453" s="51" t="s">
        <v>769</v>
      </c>
      <c r="G453" s="1">
        <v>21985</v>
      </c>
      <c r="H453" t="s">
        <v>1</v>
      </c>
      <c r="I453" t="s">
        <v>2</v>
      </c>
      <c r="J453" s="50" t="s">
        <v>597</v>
      </c>
      <c r="K453" t="s">
        <v>841</v>
      </c>
      <c r="L453" s="2">
        <v>41083</v>
      </c>
      <c r="M453" t="s">
        <v>391</v>
      </c>
    </row>
    <row r="454" spans="1:13" x14ac:dyDescent="0.2">
      <c r="A454" s="66"/>
      <c r="B454" s="53">
        <v>16161254</v>
      </c>
      <c r="C454" t="s">
        <v>467</v>
      </c>
      <c r="D454" t="s">
        <v>0</v>
      </c>
      <c r="E454" s="44">
        <v>32</v>
      </c>
      <c r="F454" s="51" t="s">
        <v>769</v>
      </c>
      <c r="G454" s="1">
        <v>28565</v>
      </c>
      <c r="H454" t="s">
        <v>1</v>
      </c>
      <c r="I454" t="s">
        <v>2</v>
      </c>
      <c r="J454" s="50" t="s">
        <v>597</v>
      </c>
      <c r="K454" t="s">
        <v>841</v>
      </c>
      <c r="L454" s="2">
        <v>41106</v>
      </c>
      <c r="M454" t="s">
        <v>765</v>
      </c>
    </row>
    <row r="455" spans="1:13" x14ac:dyDescent="0.2">
      <c r="A455" s="66"/>
      <c r="B455" s="53">
        <v>15575568</v>
      </c>
      <c r="C455" s="65" t="s">
        <v>451</v>
      </c>
      <c r="D455" t="s">
        <v>0</v>
      </c>
      <c r="E455" s="44">
        <v>34</v>
      </c>
      <c r="F455" s="51" t="s">
        <v>769</v>
      </c>
      <c r="G455" s="1">
        <v>21490</v>
      </c>
      <c r="H455" t="s">
        <v>1</v>
      </c>
      <c r="I455" t="s">
        <v>2</v>
      </c>
      <c r="J455" s="50" t="s">
        <v>597</v>
      </c>
      <c r="K455" t="s">
        <v>841</v>
      </c>
      <c r="L455" s="2">
        <v>41334</v>
      </c>
      <c r="M455" t="s">
        <v>715</v>
      </c>
    </row>
    <row r="456" spans="1:13" x14ac:dyDescent="0.2">
      <c r="A456" s="66"/>
      <c r="B456" s="53">
        <v>8268841</v>
      </c>
      <c r="C456" t="s">
        <v>124</v>
      </c>
      <c r="D456" t="s">
        <v>20</v>
      </c>
      <c r="E456" s="44">
        <v>45</v>
      </c>
      <c r="F456" s="51" t="s">
        <v>769</v>
      </c>
      <c r="G456" s="1">
        <v>24310</v>
      </c>
      <c r="H456" t="s">
        <v>1</v>
      </c>
      <c r="I456" t="s">
        <v>2</v>
      </c>
      <c r="J456" s="50" t="s">
        <v>597</v>
      </c>
      <c r="K456" t="s">
        <v>841</v>
      </c>
      <c r="L456" s="2">
        <v>41519</v>
      </c>
      <c r="M456" t="s">
        <v>713</v>
      </c>
    </row>
    <row r="457" spans="1:13" x14ac:dyDescent="0.2">
      <c r="A457" s="66"/>
      <c r="B457" s="53">
        <v>17734811</v>
      </c>
      <c r="C457" s="65" t="s">
        <v>716</v>
      </c>
      <c r="D457" t="s">
        <v>0</v>
      </c>
      <c r="E457" s="44">
        <v>27</v>
      </c>
      <c r="F457" s="51" t="s">
        <v>769</v>
      </c>
      <c r="G457" s="1">
        <v>20410</v>
      </c>
      <c r="H457" t="s">
        <v>1</v>
      </c>
      <c r="I457" t="s">
        <v>2</v>
      </c>
      <c r="J457" s="50" t="s">
        <v>597</v>
      </c>
      <c r="K457" t="s">
        <v>841</v>
      </c>
      <c r="L457" s="2">
        <v>41884</v>
      </c>
      <c r="M457" t="s">
        <v>391</v>
      </c>
    </row>
    <row r="458" spans="1:13" x14ac:dyDescent="0.2">
      <c r="A458" s="66"/>
      <c r="B458" s="53">
        <v>16478147</v>
      </c>
      <c r="C458" t="s">
        <v>733</v>
      </c>
      <c r="D458" t="s">
        <v>0</v>
      </c>
      <c r="E458" s="44">
        <v>32</v>
      </c>
      <c r="F458" s="51" t="s">
        <v>768</v>
      </c>
      <c r="G458" s="1">
        <v>21060</v>
      </c>
      <c r="H458" t="s">
        <v>1</v>
      </c>
      <c r="I458" t="s">
        <v>2</v>
      </c>
      <c r="J458" s="50" t="s">
        <v>597</v>
      </c>
      <c r="K458" t="s">
        <v>841</v>
      </c>
      <c r="L458" s="2">
        <v>42011</v>
      </c>
      <c r="M458" t="s">
        <v>734</v>
      </c>
    </row>
    <row r="459" spans="1:13" x14ac:dyDescent="0.2">
      <c r="A459" s="66"/>
      <c r="B459" s="53">
        <v>16169725</v>
      </c>
      <c r="C459" t="s">
        <v>786</v>
      </c>
      <c r="D459" t="s">
        <v>0</v>
      </c>
      <c r="E459" s="44">
        <v>31</v>
      </c>
      <c r="F459" s="51" t="s">
        <v>768</v>
      </c>
      <c r="G459" s="1">
        <v>22815</v>
      </c>
      <c r="H459" t="s">
        <v>1</v>
      </c>
      <c r="I459" t="s">
        <v>2</v>
      </c>
      <c r="J459" s="50" t="s">
        <v>597</v>
      </c>
      <c r="K459" t="s">
        <v>841</v>
      </c>
      <c r="L459" s="2">
        <v>42110</v>
      </c>
      <c r="M459" t="s">
        <v>391</v>
      </c>
    </row>
    <row r="460" spans="1:13" x14ac:dyDescent="0.2">
      <c r="A460" s="66"/>
      <c r="B460" s="53">
        <v>12955063</v>
      </c>
      <c r="C460" t="s">
        <v>318</v>
      </c>
      <c r="D460" t="s">
        <v>0</v>
      </c>
      <c r="E460" s="44">
        <v>38</v>
      </c>
      <c r="F460" s="51" t="s">
        <v>769</v>
      </c>
      <c r="G460" s="1">
        <v>43630</v>
      </c>
      <c r="H460" t="s">
        <v>1</v>
      </c>
      <c r="I460" t="s">
        <v>2</v>
      </c>
      <c r="J460" s="50" t="s">
        <v>654</v>
      </c>
      <c r="K460" s="36" t="s">
        <v>803</v>
      </c>
      <c r="L460" s="2">
        <v>38184</v>
      </c>
      <c r="M460" t="s">
        <v>804</v>
      </c>
    </row>
    <row r="461" spans="1:13" x14ac:dyDescent="0.2">
      <c r="A461" s="66"/>
      <c r="B461" s="53">
        <v>14278420</v>
      </c>
      <c r="C461" t="s">
        <v>389</v>
      </c>
      <c r="D461" t="s">
        <v>0</v>
      </c>
      <c r="E461" s="44">
        <v>38</v>
      </c>
      <c r="F461" s="51" t="s">
        <v>769</v>
      </c>
      <c r="G461" s="1">
        <v>41315</v>
      </c>
      <c r="H461" t="s">
        <v>1</v>
      </c>
      <c r="I461" t="s">
        <v>2</v>
      </c>
      <c r="J461" s="50" t="s">
        <v>654</v>
      </c>
      <c r="K461" t="s">
        <v>127</v>
      </c>
      <c r="L461" s="2">
        <v>38033</v>
      </c>
      <c r="M461" t="s">
        <v>390</v>
      </c>
    </row>
    <row r="462" spans="1:13" x14ac:dyDescent="0.2">
      <c r="A462" s="66"/>
      <c r="B462" s="53">
        <v>16480415</v>
      </c>
      <c r="C462" t="s">
        <v>480</v>
      </c>
      <c r="D462" t="s">
        <v>0</v>
      </c>
      <c r="E462" s="44">
        <v>31</v>
      </c>
      <c r="F462" s="51" t="s">
        <v>769</v>
      </c>
      <c r="G462" s="1">
        <v>23635</v>
      </c>
      <c r="H462" t="s">
        <v>1</v>
      </c>
      <c r="I462" t="s">
        <v>2</v>
      </c>
      <c r="J462" s="50" t="s">
        <v>654</v>
      </c>
      <c r="K462" t="s">
        <v>127</v>
      </c>
      <c r="L462" s="2">
        <v>40725</v>
      </c>
      <c r="M462" t="s">
        <v>481</v>
      </c>
    </row>
    <row r="463" spans="1:13" x14ac:dyDescent="0.2">
      <c r="A463" s="66"/>
      <c r="B463" s="53">
        <v>8271676</v>
      </c>
      <c r="C463" t="s">
        <v>126</v>
      </c>
      <c r="D463" t="s">
        <v>0</v>
      </c>
      <c r="E463" s="44">
        <v>43</v>
      </c>
      <c r="F463" s="51" t="s">
        <v>769</v>
      </c>
      <c r="G463" s="1">
        <v>30320</v>
      </c>
      <c r="H463" t="s">
        <v>1</v>
      </c>
      <c r="I463" t="s">
        <v>2</v>
      </c>
      <c r="J463" s="50" t="s">
        <v>654</v>
      </c>
      <c r="K463" t="s">
        <v>127</v>
      </c>
      <c r="L463" s="2">
        <v>40725</v>
      </c>
      <c r="M463" t="s">
        <v>128</v>
      </c>
    </row>
    <row r="464" spans="1:13" x14ac:dyDescent="0.2">
      <c r="A464" s="66"/>
      <c r="B464" s="53">
        <v>15863792</v>
      </c>
      <c r="C464" t="s">
        <v>456</v>
      </c>
      <c r="D464" t="s">
        <v>0</v>
      </c>
      <c r="E464" s="44">
        <v>32</v>
      </c>
      <c r="F464" s="51" t="s">
        <v>769</v>
      </c>
      <c r="G464" s="1">
        <v>19595</v>
      </c>
      <c r="H464" t="s">
        <v>1</v>
      </c>
      <c r="I464" t="s">
        <v>2</v>
      </c>
      <c r="J464" s="50" t="s">
        <v>654</v>
      </c>
      <c r="K464" t="s">
        <v>127</v>
      </c>
      <c r="L464" s="2">
        <v>40725</v>
      </c>
      <c r="M464" t="s">
        <v>457</v>
      </c>
    </row>
    <row r="465" spans="1:22" x14ac:dyDescent="0.2">
      <c r="A465" s="66"/>
      <c r="B465" s="53">
        <v>14076245</v>
      </c>
      <c r="C465" t="s">
        <v>374</v>
      </c>
      <c r="D465" t="s">
        <v>0</v>
      </c>
      <c r="E465" s="44">
        <v>36</v>
      </c>
      <c r="F465" s="51" t="s">
        <v>769</v>
      </c>
      <c r="G465" s="1">
        <v>19070</v>
      </c>
      <c r="H465" t="s">
        <v>1</v>
      </c>
      <c r="I465" t="s">
        <v>2</v>
      </c>
      <c r="J465" s="50" t="s">
        <v>654</v>
      </c>
      <c r="K465" t="s">
        <v>127</v>
      </c>
      <c r="L465" s="2">
        <v>40742</v>
      </c>
      <c r="M465" t="s">
        <v>214</v>
      </c>
    </row>
    <row r="466" spans="1:22" x14ac:dyDescent="0.2">
      <c r="A466" s="66"/>
      <c r="B466" s="53">
        <v>16393376</v>
      </c>
      <c r="C466" t="s">
        <v>477</v>
      </c>
      <c r="D466" t="s">
        <v>0</v>
      </c>
      <c r="E466" s="44">
        <v>30</v>
      </c>
      <c r="F466" s="51" t="s">
        <v>769</v>
      </c>
      <c r="G466" s="1">
        <v>30320</v>
      </c>
      <c r="H466" t="s">
        <v>1</v>
      </c>
      <c r="I466" t="s">
        <v>2</v>
      </c>
      <c r="J466" s="50" t="s">
        <v>654</v>
      </c>
      <c r="K466" t="s">
        <v>127</v>
      </c>
      <c r="L466" s="2">
        <v>40756</v>
      </c>
      <c r="M466" t="s">
        <v>478</v>
      </c>
    </row>
    <row r="467" spans="1:22" x14ac:dyDescent="0.2">
      <c r="A467" s="66"/>
      <c r="B467" s="53">
        <v>17695547</v>
      </c>
      <c r="C467" t="s">
        <v>747</v>
      </c>
      <c r="D467" t="s">
        <v>0</v>
      </c>
      <c r="E467" s="44">
        <v>28</v>
      </c>
      <c r="F467" s="51" t="s">
        <v>768</v>
      </c>
      <c r="G467" s="1">
        <v>21450</v>
      </c>
      <c r="H467" t="s">
        <v>1</v>
      </c>
      <c r="I467" t="s">
        <v>2</v>
      </c>
      <c r="J467" s="50" t="s">
        <v>654</v>
      </c>
      <c r="K467" t="s">
        <v>127</v>
      </c>
      <c r="L467" s="2">
        <v>42053</v>
      </c>
      <c r="M467" t="s">
        <v>128</v>
      </c>
    </row>
    <row r="468" spans="1:22" x14ac:dyDescent="0.2">
      <c r="A468" s="66"/>
      <c r="B468" s="53">
        <v>16223732</v>
      </c>
      <c r="C468" t="s">
        <v>860</v>
      </c>
      <c r="D468" t="s">
        <v>0</v>
      </c>
      <c r="E468" s="44">
        <v>32</v>
      </c>
      <c r="F468" s="51" t="s">
        <v>768</v>
      </c>
      <c r="G468" s="1">
        <v>18200</v>
      </c>
      <c r="H468" t="s">
        <v>1</v>
      </c>
      <c r="I468" t="s">
        <v>2</v>
      </c>
      <c r="J468" s="50" t="s">
        <v>654</v>
      </c>
      <c r="K468" t="s">
        <v>127</v>
      </c>
      <c r="L468" s="2">
        <v>42186</v>
      </c>
      <c r="M468" t="s">
        <v>214</v>
      </c>
    </row>
    <row r="469" spans="1:22" x14ac:dyDescent="0.2">
      <c r="A469" s="66"/>
      <c r="B469" s="53">
        <v>18248723</v>
      </c>
      <c r="C469" t="s">
        <v>894</v>
      </c>
      <c r="D469" t="s">
        <v>0</v>
      </c>
      <c r="E469" s="44">
        <v>28</v>
      </c>
      <c r="F469" s="51" t="s">
        <v>768</v>
      </c>
      <c r="G469" s="1">
        <v>18200</v>
      </c>
      <c r="H469" t="s">
        <v>1</v>
      </c>
      <c r="I469" t="s">
        <v>2</v>
      </c>
      <c r="J469" s="50" t="s">
        <v>654</v>
      </c>
      <c r="K469" t="s">
        <v>127</v>
      </c>
      <c r="L469" s="2">
        <v>42221</v>
      </c>
      <c r="M469" t="s">
        <v>128</v>
      </c>
    </row>
    <row r="470" spans="1:22" s="60" customFormat="1" x14ac:dyDescent="0.2">
      <c r="A470" s="66"/>
      <c r="B470" s="53">
        <v>18847486</v>
      </c>
      <c r="C470" t="s">
        <v>852</v>
      </c>
      <c r="D470" t="s">
        <v>0</v>
      </c>
      <c r="E470" s="44">
        <v>26</v>
      </c>
      <c r="F470" s="51" t="s">
        <v>768</v>
      </c>
      <c r="G470" s="1">
        <v>24230</v>
      </c>
      <c r="H470" t="s">
        <v>1</v>
      </c>
      <c r="I470" t="s">
        <v>2</v>
      </c>
      <c r="J470" s="50" t="s">
        <v>654</v>
      </c>
      <c r="K470" s="36" t="s">
        <v>862</v>
      </c>
      <c r="L470" s="2">
        <v>42156</v>
      </c>
      <c r="M470" t="s">
        <v>895</v>
      </c>
      <c r="N470"/>
      <c r="O470"/>
      <c r="P470"/>
      <c r="Q470"/>
      <c r="R470"/>
      <c r="S470"/>
      <c r="T470"/>
      <c r="V470"/>
    </row>
    <row r="471" spans="1:22" x14ac:dyDescent="0.2">
      <c r="A471" s="66"/>
      <c r="B471" s="53">
        <v>20360803</v>
      </c>
      <c r="C471" t="s">
        <v>853</v>
      </c>
      <c r="D471" t="s">
        <v>0</v>
      </c>
      <c r="E471" s="44">
        <v>24</v>
      </c>
      <c r="F471" s="51" t="s">
        <v>768</v>
      </c>
      <c r="G471" s="1">
        <v>24230</v>
      </c>
      <c r="H471" t="s">
        <v>1</v>
      </c>
      <c r="I471" t="s">
        <v>2</v>
      </c>
      <c r="J471" s="50" t="s">
        <v>654</v>
      </c>
      <c r="K471" t="s">
        <v>862</v>
      </c>
      <c r="L471" s="2">
        <v>42156</v>
      </c>
      <c r="M471" t="s">
        <v>895</v>
      </c>
    </row>
    <row r="472" spans="1:22" x14ac:dyDescent="0.2">
      <c r="A472" s="66"/>
      <c r="B472" s="53">
        <v>13784353</v>
      </c>
      <c r="C472" t="s">
        <v>360</v>
      </c>
      <c r="D472" t="s">
        <v>0</v>
      </c>
      <c r="E472" s="44">
        <v>36</v>
      </c>
      <c r="F472" s="51" t="s">
        <v>769</v>
      </c>
      <c r="G472" s="1">
        <v>37525</v>
      </c>
      <c r="H472" t="s">
        <v>1</v>
      </c>
      <c r="I472" t="s">
        <v>2</v>
      </c>
      <c r="J472" s="50" t="s">
        <v>654</v>
      </c>
      <c r="K472" t="s">
        <v>43</v>
      </c>
      <c r="L472" s="2">
        <v>39588</v>
      </c>
      <c r="M472" t="s">
        <v>896</v>
      </c>
    </row>
    <row r="473" spans="1:22" x14ac:dyDescent="0.2">
      <c r="A473" s="66"/>
      <c r="B473" s="53">
        <v>4914404</v>
      </c>
      <c r="C473" t="s">
        <v>42</v>
      </c>
      <c r="D473" t="s">
        <v>0</v>
      </c>
      <c r="E473" s="44">
        <v>57</v>
      </c>
      <c r="F473" s="51" t="s">
        <v>769</v>
      </c>
      <c r="G473" s="1">
        <v>25055</v>
      </c>
      <c r="H473" t="s">
        <v>1</v>
      </c>
      <c r="I473" t="s">
        <v>2</v>
      </c>
      <c r="J473" s="50" t="s">
        <v>654</v>
      </c>
      <c r="K473" t="s">
        <v>43</v>
      </c>
      <c r="L473" s="2">
        <v>40725</v>
      </c>
      <c r="M473" t="s">
        <v>44</v>
      </c>
    </row>
    <row r="474" spans="1:22" x14ac:dyDescent="0.2">
      <c r="A474" s="68"/>
      <c r="B474" s="61">
        <v>13935469</v>
      </c>
      <c r="C474" s="36" t="s">
        <v>367</v>
      </c>
      <c r="D474" s="36" t="s">
        <v>0</v>
      </c>
      <c r="E474" s="62">
        <v>36</v>
      </c>
      <c r="F474" s="51" t="s">
        <v>769</v>
      </c>
      <c r="G474" s="63">
        <v>30690</v>
      </c>
      <c r="H474" s="36" t="s">
        <v>1</v>
      </c>
      <c r="I474" s="36" t="s">
        <v>2</v>
      </c>
      <c r="J474" s="50" t="s">
        <v>654</v>
      </c>
      <c r="K474" s="36" t="s">
        <v>43</v>
      </c>
      <c r="L474" s="64">
        <v>40725</v>
      </c>
      <c r="M474" s="36" t="s">
        <v>361</v>
      </c>
      <c r="N474" s="60"/>
    </row>
    <row r="475" spans="1:22" x14ac:dyDescent="0.2">
      <c r="A475" s="66"/>
      <c r="B475" s="53">
        <v>16063484</v>
      </c>
      <c r="C475" t="s">
        <v>463</v>
      </c>
      <c r="D475" t="s">
        <v>0</v>
      </c>
      <c r="E475" s="44">
        <v>31</v>
      </c>
      <c r="F475" s="51" t="s">
        <v>769</v>
      </c>
      <c r="G475" s="1">
        <v>19845</v>
      </c>
      <c r="H475" t="s">
        <v>1</v>
      </c>
      <c r="I475" t="s">
        <v>2</v>
      </c>
      <c r="J475" s="50" t="s">
        <v>654</v>
      </c>
      <c r="K475" t="s">
        <v>43</v>
      </c>
      <c r="L475" s="2">
        <v>40725</v>
      </c>
      <c r="M475" t="s">
        <v>44</v>
      </c>
    </row>
    <row r="476" spans="1:22" x14ac:dyDescent="0.2">
      <c r="A476" s="66"/>
      <c r="B476" s="53">
        <v>17359377</v>
      </c>
      <c r="C476" t="s">
        <v>515</v>
      </c>
      <c r="D476" t="s">
        <v>0</v>
      </c>
      <c r="E476" s="44">
        <v>27</v>
      </c>
      <c r="F476" s="51" t="s">
        <v>769</v>
      </c>
      <c r="G476" s="1">
        <v>19845</v>
      </c>
      <c r="H476" t="s">
        <v>1</v>
      </c>
      <c r="I476" t="s">
        <v>2</v>
      </c>
      <c r="J476" s="50" t="s">
        <v>654</v>
      </c>
      <c r="K476" t="s">
        <v>43</v>
      </c>
      <c r="L476" s="2">
        <v>40725</v>
      </c>
      <c r="M476" t="s">
        <v>44</v>
      </c>
    </row>
    <row r="477" spans="1:22" x14ac:dyDescent="0.2">
      <c r="A477" s="66"/>
      <c r="B477" s="53">
        <v>8247533</v>
      </c>
      <c r="C477" t="s">
        <v>112</v>
      </c>
      <c r="D477" t="s">
        <v>0</v>
      </c>
      <c r="E477" s="44">
        <v>47</v>
      </c>
      <c r="F477" s="51" t="s">
        <v>769</v>
      </c>
      <c r="G477" s="1">
        <v>29385</v>
      </c>
      <c r="H477" t="s">
        <v>1</v>
      </c>
      <c r="I477" t="s">
        <v>2</v>
      </c>
      <c r="J477" s="50" t="s">
        <v>654</v>
      </c>
      <c r="K477" t="s">
        <v>43</v>
      </c>
      <c r="L477" s="2">
        <v>40742</v>
      </c>
      <c r="M477" t="s">
        <v>361</v>
      </c>
    </row>
    <row r="478" spans="1:22" x14ac:dyDescent="0.2">
      <c r="A478" s="66"/>
      <c r="B478" s="53">
        <v>16354220</v>
      </c>
      <c r="C478" t="s">
        <v>476</v>
      </c>
      <c r="D478" t="s">
        <v>0</v>
      </c>
      <c r="E478" s="44">
        <v>32</v>
      </c>
      <c r="F478" s="51" t="s">
        <v>769</v>
      </c>
      <c r="G478" s="1">
        <v>19535</v>
      </c>
      <c r="H478" t="s">
        <v>1</v>
      </c>
      <c r="I478" t="s">
        <v>2</v>
      </c>
      <c r="J478" s="50" t="s">
        <v>654</v>
      </c>
      <c r="K478" t="s">
        <v>43</v>
      </c>
      <c r="L478" s="2">
        <v>40742</v>
      </c>
      <c r="M478" t="s">
        <v>44</v>
      </c>
    </row>
    <row r="479" spans="1:22" x14ac:dyDescent="0.2">
      <c r="A479" s="66"/>
      <c r="B479" s="53">
        <v>16520185</v>
      </c>
      <c r="C479" t="s">
        <v>488</v>
      </c>
      <c r="D479" t="s">
        <v>0</v>
      </c>
      <c r="E479" s="44">
        <v>33</v>
      </c>
      <c r="F479" s="51" t="s">
        <v>769</v>
      </c>
      <c r="G479" s="1">
        <v>23080</v>
      </c>
      <c r="H479" t="s">
        <v>1</v>
      </c>
      <c r="I479" t="s">
        <v>2</v>
      </c>
      <c r="J479" s="50" t="s">
        <v>654</v>
      </c>
      <c r="K479" t="s">
        <v>43</v>
      </c>
      <c r="L479" s="2">
        <v>40878</v>
      </c>
      <c r="M479" t="s">
        <v>489</v>
      </c>
    </row>
    <row r="480" spans="1:22" x14ac:dyDescent="0.2">
      <c r="A480" s="66"/>
      <c r="B480" s="53">
        <v>17536116</v>
      </c>
      <c r="C480" t="s">
        <v>525</v>
      </c>
      <c r="D480" t="s">
        <v>20</v>
      </c>
      <c r="E480" s="44">
        <v>29</v>
      </c>
      <c r="F480" s="51" t="s">
        <v>769</v>
      </c>
      <c r="G480" s="1">
        <v>24230</v>
      </c>
      <c r="H480" t="s">
        <v>1</v>
      </c>
      <c r="I480" t="s">
        <v>2</v>
      </c>
      <c r="J480" s="50" t="s">
        <v>654</v>
      </c>
      <c r="K480" t="s">
        <v>43</v>
      </c>
      <c r="L480" s="2">
        <v>41457</v>
      </c>
      <c r="M480" t="s">
        <v>526</v>
      </c>
    </row>
    <row r="481" spans="1:13" x14ac:dyDescent="0.2">
      <c r="A481" s="66"/>
      <c r="B481" s="53">
        <v>17235582</v>
      </c>
      <c r="C481" t="s">
        <v>861</v>
      </c>
      <c r="D481" t="s">
        <v>20</v>
      </c>
      <c r="E481" s="44">
        <v>29</v>
      </c>
      <c r="F481" s="51" t="s">
        <v>768</v>
      </c>
      <c r="G481" s="1">
        <v>23400</v>
      </c>
      <c r="H481" t="s">
        <v>1</v>
      </c>
      <c r="I481" t="s">
        <v>2</v>
      </c>
      <c r="J481" s="50" t="s">
        <v>654</v>
      </c>
      <c r="K481" t="s">
        <v>43</v>
      </c>
      <c r="L481" s="2">
        <v>42200</v>
      </c>
      <c r="M481" t="s">
        <v>44</v>
      </c>
    </row>
    <row r="482" spans="1:13" x14ac:dyDescent="0.2">
      <c r="A482" s="66"/>
      <c r="B482" s="53">
        <v>19495535</v>
      </c>
      <c r="C482" t="s">
        <v>899</v>
      </c>
      <c r="D482" t="s">
        <v>20</v>
      </c>
      <c r="E482" s="44">
        <v>26</v>
      </c>
      <c r="F482" s="51" t="s">
        <v>768</v>
      </c>
      <c r="G482" s="1">
        <v>21450</v>
      </c>
      <c r="H482" t="s">
        <v>1</v>
      </c>
      <c r="I482" t="s">
        <v>2</v>
      </c>
      <c r="J482" s="50" t="s">
        <v>654</v>
      </c>
      <c r="K482" t="s">
        <v>43</v>
      </c>
      <c r="L482" s="2">
        <v>42263</v>
      </c>
      <c r="M482" t="s">
        <v>44</v>
      </c>
    </row>
    <row r="483" spans="1:13" x14ac:dyDescent="0.2">
      <c r="A483" s="66"/>
      <c r="B483" s="53">
        <v>14633788</v>
      </c>
      <c r="C483" t="s">
        <v>415</v>
      </c>
      <c r="D483" t="s">
        <v>0</v>
      </c>
      <c r="E483" s="44">
        <v>34</v>
      </c>
      <c r="F483" s="51" t="s">
        <v>769</v>
      </c>
      <c r="G483" s="1">
        <v>25055</v>
      </c>
      <c r="H483" t="s">
        <v>1</v>
      </c>
      <c r="I483" t="s">
        <v>2</v>
      </c>
      <c r="J483" s="50" t="s">
        <v>654</v>
      </c>
      <c r="K483" t="s">
        <v>309</v>
      </c>
      <c r="L483" s="2">
        <v>40742</v>
      </c>
      <c r="M483" t="s">
        <v>387</v>
      </c>
    </row>
    <row r="484" spans="1:13" x14ac:dyDescent="0.2">
      <c r="A484" s="66"/>
      <c r="B484" s="53">
        <v>14220440</v>
      </c>
      <c r="C484" t="s">
        <v>386</v>
      </c>
      <c r="D484" t="s">
        <v>0</v>
      </c>
      <c r="E484" s="44">
        <v>37</v>
      </c>
      <c r="F484" s="51" t="s">
        <v>769</v>
      </c>
      <c r="G484" s="1">
        <v>25045</v>
      </c>
      <c r="H484" t="s">
        <v>1</v>
      </c>
      <c r="I484" t="s">
        <v>2</v>
      </c>
      <c r="J484" s="50" t="s">
        <v>654</v>
      </c>
      <c r="K484" t="s">
        <v>309</v>
      </c>
      <c r="L484" s="2">
        <v>40742</v>
      </c>
      <c r="M484" t="s">
        <v>387</v>
      </c>
    </row>
    <row r="485" spans="1:13" x14ac:dyDescent="0.2">
      <c r="A485" s="66"/>
      <c r="B485" s="53">
        <v>11419360</v>
      </c>
      <c r="C485" t="s">
        <v>230</v>
      </c>
      <c r="D485" t="s">
        <v>0</v>
      </c>
      <c r="E485" s="44">
        <v>44</v>
      </c>
      <c r="F485" s="51" t="s">
        <v>769</v>
      </c>
      <c r="G485" s="1">
        <v>24240</v>
      </c>
      <c r="H485" t="s">
        <v>1</v>
      </c>
      <c r="I485" t="s">
        <v>2</v>
      </c>
      <c r="J485" s="50" t="s">
        <v>654</v>
      </c>
      <c r="K485" t="s">
        <v>309</v>
      </c>
      <c r="L485" s="2">
        <v>41487</v>
      </c>
      <c r="M485" t="s">
        <v>387</v>
      </c>
    </row>
    <row r="486" spans="1:13" x14ac:dyDescent="0.2">
      <c r="A486" s="66"/>
      <c r="B486" s="53">
        <v>14511179</v>
      </c>
      <c r="C486" t="s">
        <v>805</v>
      </c>
      <c r="D486" t="s">
        <v>0</v>
      </c>
      <c r="E486" s="44">
        <v>34</v>
      </c>
      <c r="F486" s="51" t="s">
        <v>768</v>
      </c>
      <c r="G486" s="1">
        <v>32470</v>
      </c>
      <c r="H486" t="s">
        <v>1</v>
      </c>
      <c r="I486" t="s">
        <v>2</v>
      </c>
      <c r="J486" s="50" t="s">
        <v>654</v>
      </c>
      <c r="K486" t="s">
        <v>309</v>
      </c>
      <c r="L486" s="2">
        <v>42128</v>
      </c>
      <c r="M486" t="s">
        <v>806</v>
      </c>
    </row>
    <row r="487" spans="1:13" x14ac:dyDescent="0.2">
      <c r="A487" s="66"/>
      <c r="B487" s="53">
        <v>8331264</v>
      </c>
      <c r="C487" t="s">
        <v>149</v>
      </c>
      <c r="D487" t="s">
        <v>0</v>
      </c>
      <c r="E487" s="44">
        <v>50</v>
      </c>
      <c r="F487" s="51" t="s">
        <v>769</v>
      </c>
      <c r="G487" s="1">
        <v>55460</v>
      </c>
      <c r="H487" t="s">
        <v>1</v>
      </c>
      <c r="I487" t="s">
        <v>2</v>
      </c>
      <c r="J487" s="50" t="s">
        <v>810</v>
      </c>
      <c r="K487" t="s">
        <v>842</v>
      </c>
      <c r="L487" s="2">
        <v>38110</v>
      </c>
      <c r="M487" t="s">
        <v>809</v>
      </c>
    </row>
    <row r="488" spans="1:13" x14ac:dyDescent="0.2">
      <c r="A488" s="66"/>
      <c r="B488" s="53">
        <v>11948963</v>
      </c>
      <c r="C488" t="s">
        <v>257</v>
      </c>
      <c r="D488" t="s">
        <v>0</v>
      </c>
      <c r="E488" s="44">
        <v>42</v>
      </c>
      <c r="F488" s="51" t="s">
        <v>769</v>
      </c>
      <c r="G488" s="1">
        <v>36855</v>
      </c>
      <c r="H488" t="s">
        <v>1</v>
      </c>
      <c r="I488" t="s">
        <v>2</v>
      </c>
      <c r="J488" s="50" t="s">
        <v>810</v>
      </c>
      <c r="K488" t="s">
        <v>843</v>
      </c>
      <c r="L488" s="2">
        <v>36465</v>
      </c>
      <c r="M488" t="s">
        <v>920</v>
      </c>
    </row>
    <row r="489" spans="1:13" x14ac:dyDescent="0.2">
      <c r="A489" s="66"/>
      <c r="B489" s="53">
        <v>16491156</v>
      </c>
      <c r="C489" t="s">
        <v>485</v>
      </c>
      <c r="D489" t="s">
        <v>20</v>
      </c>
      <c r="E489" s="44">
        <v>30</v>
      </c>
      <c r="F489" s="51" t="s">
        <v>769</v>
      </c>
      <c r="G489" s="1">
        <v>26900</v>
      </c>
      <c r="H489" t="s">
        <v>1</v>
      </c>
      <c r="I489" t="s">
        <v>2</v>
      </c>
      <c r="J489" s="49" t="s">
        <v>810</v>
      </c>
      <c r="K489" t="s">
        <v>843</v>
      </c>
      <c r="L489" s="2">
        <v>40725</v>
      </c>
      <c r="M489" t="s">
        <v>465</v>
      </c>
    </row>
    <row r="490" spans="1:13" x14ac:dyDescent="0.2">
      <c r="A490" s="66"/>
      <c r="B490" s="53">
        <v>14213500</v>
      </c>
      <c r="C490" t="s">
        <v>384</v>
      </c>
      <c r="D490" t="s">
        <v>20</v>
      </c>
      <c r="E490" s="44">
        <v>36</v>
      </c>
      <c r="F490" s="51" t="s">
        <v>769</v>
      </c>
      <c r="G490" s="1">
        <v>25645</v>
      </c>
      <c r="H490" t="s">
        <v>1</v>
      </c>
      <c r="I490" t="s">
        <v>2</v>
      </c>
      <c r="J490" s="49" t="s">
        <v>810</v>
      </c>
      <c r="K490" t="s">
        <v>843</v>
      </c>
      <c r="L490" s="2">
        <v>40893</v>
      </c>
      <c r="M490" t="s">
        <v>900</v>
      </c>
    </row>
    <row r="491" spans="1:13" x14ac:dyDescent="0.2">
      <c r="A491" s="66"/>
      <c r="B491" s="53">
        <v>15515009</v>
      </c>
      <c r="C491" t="s">
        <v>449</v>
      </c>
      <c r="D491" t="s">
        <v>0</v>
      </c>
      <c r="E491" s="44">
        <v>32</v>
      </c>
      <c r="F491" s="51" t="s">
        <v>769</v>
      </c>
      <c r="G491" s="1">
        <v>21695</v>
      </c>
      <c r="H491" t="s">
        <v>1</v>
      </c>
      <c r="I491" t="s">
        <v>2</v>
      </c>
      <c r="J491" s="50" t="s">
        <v>810</v>
      </c>
      <c r="K491" t="s">
        <v>843</v>
      </c>
      <c r="L491" s="2">
        <v>40940</v>
      </c>
      <c r="M491" t="s">
        <v>465</v>
      </c>
    </row>
    <row r="492" spans="1:13" x14ac:dyDescent="0.2">
      <c r="A492" s="66"/>
      <c r="B492" s="53">
        <v>14632267</v>
      </c>
      <c r="C492" t="s">
        <v>413</v>
      </c>
      <c r="D492" t="s">
        <v>0</v>
      </c>
      <c r="E492" s="44">
        <v>35</v>
      </c>
      <c r="F492" s="51" t="s">
        <v>769</v>
      </c>
      <c r="G492" s="1">
        <v>19165</v>
      </c>
      <c r="H492" t="s">
        <v>1</v>
      </c>
      <c r="I492" t="s">
        <v>2</v>
      </c>
      <c r="J492" s="50" t="s">
        <v>810</v>
      </c>
      <c r="K492" t="s">
        <v>843</v>
      </c>
      <c r="L492" s="2">
        <v>40969</v>
      </c>
      <c r="M492" t="s">
        <v>414</v>
      </c>
    </row>
    <row r="493" spans="1:13" x14ac:dyDescent="0.2">
      <c r="A493" s="66"/>
      <c r="B493" s="53">
        <v>16479357</v>
      </c>
      <c r="C493" t="s">
        <v>744</v>
      </c>
      <c r="D493" t="s">
        <v>20</v>
      </c>
      <c r="E493" s="44">
        <v>32</v>
      </c>
      <c r="F493" s="51" t="s">
        <v>768</v>
      </c>
      <c r="G493" s="1">
        <v>25275</v>
      </c>
      <c r="H493" t="s">
        <v>1</v>
      </c>
      <c r="I493" t="s">
        <v>2</v>
      </c>
      <c r="J493" s="50" t="s">
        <v>810</v>
      </c>
      <c r="K493" t="s">
        <v>843</v>
      </c>
      <c r="L493" s="2">
        <v>42037</v>
      </c>
      <c r="M493" t="s">
        <v>391</v>
      </c>
    </row>
    <row r="494" spans="1:13" x14ac:dyDescent="0.2">
      <c r="A494" s="66"/>
      <c r="B494" s="53">
        <v>18519998</v>
      </c>
      <c r="C494" t="s">
        <v>748</v>
      </c>
      <c r="D494" t="s">
        <v>20</v>
      </c>
      <c r="E494" s="44">
        <v>28</v>
      </c>
      <c r="F494" s="51" t="s">
        <v>768</v>
      </c>
      <c r="G494" s="1">
        <v>21060</v>
      </c>
      <c r="H494" t="s">
        <v>1</v>
      </c>
      <c r="I494" t="s">
        <v>2</v>
      </c>
      <c r="J494" s="50" t="s">
        <v>810</v>
      </c>
      <c r="K494" t="s">
        <v>843</v>
      </c>
      <c r="L494" s="2">
        <v>42053</v>
      </c>
      <c r="M494" t="s">
        <v>900</v>
      </c>
    </row>
    <row r="495" spans="1:13" x14ac:dyDescent="0.2">
      <c r="A495" s="66"/>
      <c r="B495" s="53">
        <v>10969942</v>
      </c>
      <c r="C495" t="s">
        <v>217</v>
      </c>
      <c r="D495" t="s">
        <v>0</v>
      </c>
      <c r="E495" s="44">
        <v>43</v>
      </c>
      <c r="F495" s="51" t="s">
        <v>769</v>
      </c>
      <c r="G495" s="1">
        <v>31695</v>
      </c>
      <c r="H495" t="s">
        <v>1</v>
      </c>
      <c r="I495" t="s">
        <v>2</v>
      </c>
      <c r="J495" s="50" t="s">
        <v>810</v>
      </c>
      <c r="K495" t="s">
        <v>844</v>
      </c>
      <c r="L495" s="2">
        <v>40088</v>
      </c>
      <c r="M495" t="s">
        <v>736</v>
      </c>
    </row>
    <row r="496" spans="1:13" x14ac:dyDescent="0.2">
      <c r="A496" s="66"/>
      <c r="B496" s="53">
        <v>7782927</v>
      </c>
      <c r="C496" t="s">
        <v>95</v>
      </c>
      <c r="D496" t="s">
        <v>0</v>
      </c>
      <c r="E496" s="44">
        <v>50</v>
      </c>
      <c r="F496" s="51" t="s">
        <v>769</v>
      </c>
      <c r="G496" s="1">
        <v>31030</v>
      </c>
      <c r="H496" t="s">
        <v>1</v>
      </c>
      <c r="I496" t="s">
        <v>2</v>
      </c>
      <c r="J496" s="50" t="s">
        <v>810</v>
      </c>
      <c r="K496" t="s">
        <v>844</v>
      </c>
      <c r="L496" s="2">
        <v>40560</v>
      </c>
      <c r="M496" t="s">
        <v>735</v>
      </c>
    </row>
    <row r="497" spans="1:13" x14ac:dyDescent="0.2">
      <c r="A497" s="66"/>
      <c r="B497" s="53">
        <v>18316266</v>
      </c>
      <c r="C497" t="s">
        <v>665</v>
      </c>
      <c r="D497" t="s">
        <v>20</v>
      </c>
      <c r="E497" s="44">
        <v>27</v>
      </c>
      <c r="F497" s="51" t="s">
        <v>769</v>
      </c>
      <c r="G497" s="1">
        <v>24185</v>
      </c>
      <c r="H497" t="s">
        <v>1</v>
      </c>
      <c r="I497" t="s">
        <v>2</v>
      </c>
      <c r="J497" s="50" t="s">
        <v>810</v>
      </c>
      <c r="K497" t="s">
        <v>844</v>
      </c>
      <c r="L497" s="2">
        <v>41750</v>
      </c>
      <c r="M497" t="s">
        <v>397</v>
      </c>
    </row>
    <row r="498" spans="1:13" x14ac:dyDescent="0.2">
      <c r="A498" s="66"/>
      <c r="B498" s="53">
        <v>11461413</v>
      </c>
      <c r="C498" t="s">
        <v>234</v>
      </c>
      <c r="D498" t="s">
        <v>20</v>
      </c>
      <c r="E498" s="44">
        <v>42</v>
      </c>
      <c r="F498" s="51" t="s">
        <v>769</v>
      </c>
      <c r="G498" s="1">
        <v>49695</v>
      </c>
      <c r="H498" t="s">
        <v>1</v>
      </c>
      <c r="I498" t="s">
        <v>2</v>
      </c>
      <c r="J498" s="50" t="s">
        <v>811</v>
      </c>
      <c r="K498" t="s">
        <v>807</v>
      </c>
      <c r="L498" s="2">
        <v>39741</v>
      </c>
      <c r="M498" t="s">
        <v>808</v>
      </c>
    </row>
    <row r="499" spans="1:13" x14ac:dyDescent="0.2">
      <c r="A499" s="66"/>
      <c r="B499" s="53">
        <v>6820886</v>
      </c>
      <c r="C499" t="s">
        <v>77</v>
      </c>
      <c r="D499" t="s">
        <v>0</v>
      </c>
      <c r="E499" s="44">
        <v>50</v>
      </c>
      <c r="F499" s="51" t="s">
        <v>769</v>
      </c>
      <c r="G499" s="1">
        <v>36260</v>
      </c>
      <c r="H499" t="s">
        <v>1</v>
      </c>
      <c r="I499" t="s">
        <v>2</v>
      </c>
      <c r="J499" s="50" t="s">
        <v>811</v>
      </c>
      <c r="K499" t="s">
        <v>190</v>
      </c>
      <c r="L499" s="2">
        <v>37165</v>
      </c>
      <c r="M499" t="s">
        <v>719</v>
      </c>
    </row>
    <row r="500" spans="1:13" x14ac:dyDescent="0.2">
      <c r="A500" s="66"/>
      <c r="B500" s="53">
        <v>16826537</v>
      </c>
      <c r="C500" t="s">
        <v>500</v>
      </c>
      <c r="D500" t="s">
        <v>0</v>
      </c>
      <c r="E500" s="44">
        <v>32</v>
      </c>
      <c r="F500" s="51" t="s">
        <v>769</v>
      </c>
      <c r="G500" s="1">
        <v>25285</v>
      </c>
      <c r="H500" t="s">
        <v>1</v>
      </c>
      <c r="I500" t="s">
        <v>2</v>
      </c>
      <c r="J500" s="50" t="s">
        <v>811</v>
      </c>
      <c r="K500" t="s">
        <v>190</v>
      </c>
      <c r="L500" s="2">
        <v>38917</v>
      </c>
      <c r="M500" t="s">
        <v>191</v>
      </c>
    </row>
    <row r="501" spans="1:13" x14ac:dyDescent="0.2">
      <c r="A501" s="66"/>
      <c r="B501" s="53">
        <v>18352843</v>
      </c>
      <c r="C501" t="s">
        <v>552</v>
      </c>
      <c r="D501" t="s">
        <v>20</v>
      </c>
      <c r="E501" s="44">
        <v>28</v>
      </c>
      <c r="F501" s="51" t="s">
        <v>769</v>
      </c>
      <c r="G501" s="1">
        <v>24080</v>
      </c>
      <c r="H501" t="s">
        <v>1</v>
      </c>
      <c r="I501" t="s">
        <v>2</v>
      </c>
      <c r="J501" s="50" t="s">
        <v>811</v>
      </c>
      <c r="K501" t="s">
        <v>190</v>
      </c>
      <c r="L501" s="2">
        <v>40057</v>
      </c>
      <c r="M501" t="s">
        <v>191</v>
      </c>
    </row>
    <row r="502" spans="1:13" x14ac:dyDescent="0.2">
      <c r="A502" s="66"/>
      <c r="B502" s="53">
        <v>15873321</v>
      </c>
      <c r="C502" t="s">
        <v>664</v>
      </c>
      <c r="D502" t="s">
        <v>20</v>
      </c>
      <c r="E502" s="44">
        <v>32</v>
      </c>
      <c r="F502" s="51" t="s">
        <v>769</v>
      </c>
      <c r="G502" s="1">
        <v>19235</v>
      </c>
      <c r="H502" t="s">
        <v>1</v>
      </c>
      <c r="I502" t="s">
        <v>2</v>
      </c>
      <c r="J502" s="50" t="s">
        <v>811</v>
      </c>
      <c r="K502" t="s">
        <v>190</v>
      </c>
      <c r="L502" s="2">
        <v>41730</v>
      </c>
      <c r="M502" t="s">
        <v>191</v>
      </c>
    </row>
    <row r="503" spans="1:13" x14ac:dyDescent="0.2">
      <c r="A503" s="66"/>
      <c r="B503" s="53">
        <v>15875564</v>
      </c>
      <c r="C503" t="s">
        <v>460</v>
      </c>
      <c r="D503" t="s">
        <v>0</v>
      </c>
      <c r="E503" s="44">
        <v>32</v>
      </c>
      <c r="F503" s="51" t="s">
        <v>769</v>
      </c>
      <c r="G503" s="1">
        <v>28345</v>
      </c>
      <c r="H503" t="s">
        <v>1</v>
      </c>
      <c r="I503" t="s">
        <v>2</v>
      </c>
      <c r="J503" s="50" t="s">
        <v>811</v>
      </c>
      <c r="K503" t="s">
        <v>49</v>
      </c>
      <c r="L503" s="2">
        <v>40756</v>
      </c>
      <c r="M503" t="s">
        <v>766</v>
      </c>
    </row>
    <row r="504" spans="1:13" x14ac:dyDescent="0.2">
      <c r="A504" s="66"/>
      <c r="B504" s="53">
        <v>10287631</v>
      </c>
      <c r="C504" t="s">
        <v>200</v>
      </c>
      <c r="D504" t="s">
        <v>0</v>
      </c>
      <c r="E504" s="44">
        <v>45</v>
      </c>
      <c r="F504" s="51" t="s">
        <v>769</v>
      </c>
      <c r="G504" s="1">
        <v>21525</v>
      </c>
      <c r="H504" t="s">
        <v>1</v>
      </c>
      <c r="I504" t="s">
        <v>2</v>
      </c>
      <c r="J504" s="50" t="s">
        <v>811</v>
      </c>
      <c r="K504" t="s">
        <v>49</v>
      </c>
      <c r="L504" s="2">
        <v>40819</v>
      </c>
      <c r="M504" t="s">
        <v>191</v>
      </c>
    </row>
    <row r="505" spans="1:13" x14ac:dyDescent="0.2">
      <c r="A505" s="66"/>
      <c r="B505" s="53">
        <v>18279103</v>
      </c>
      <c r="C505" t="s">
        <v>726</v>
      </c>
      <c r="D505" t="s">
        <v>20</v>
      </c>
      <c r="E505" s="44">
        <v>29</v>
      </c>
      <c r="F505" s="51" t="s">
        <v>768</v>
      </c>
      <c r="G505" s="1">
        <v>18955</v>
      </c>
      <c r="H505" s="54" t="s">
        <v>1</v>
      </c>
      <c r="I505" s="54" t="s">
        <v>2</v>
      </c>
      <c r="J505" s="50" t="s">
        <v>811</v>
      </c>
      <c r="K505" t="s">
        <v>49</v>
      </c>
      <c r="L505" s="2">
        <v>41974</v>
      </c>
      <c r="M505" t="s">
        <v>191</v>
      </c>
    </row>
    <row r="506" spans="1:13" x14ac:dyDescent="0.2">
      <c r="A506" s="66"/>
      <c r="B506" s="53">
        <v>20380712</v>
      </c>
      <c r="C506" t="s">
        <v>729</v>
      </c>
      <c r="D506" t="s">
        <v>20</v>
      </c>
      <c r="E506" s="44">
        <v>26</v>
      </c>
      <c r="F506" s="51" t="s">
        <v>768</v>
      </c>
      <c r="G506" s="1">
        <v>18955</v>
      </c>
      <c r="H506" t="s">
        <v>1</v>
      </c>
      <c r="I506" t="s">
        <v>2</v>
      </c>
      <c r="J506" s="50" t="s">
        <v>811</v>
      </c>
      <c r="K506" t="s">
        <v>49</v>
      </c>
      <c r="L506" s="2">
        <v>41974</v>
      </c>
      <c r="M506" t="s">
        <v>191</v>
      </c>
    </row>
    <row r="507" spans="1:13" x14ac:dyDescent="0.2">
      <c r="A507" s="66"/>
      <c r="B507" s="53">
        <v>13331628</v>
      </c>
      <c r="C507" t="s">
        <v>329</v>
      </c>
      <c r="D507" t="s">
        <v>0</v>
      </c>
      <c r="E507" s="44">
        <v>37</v>
      </c>
      <c r="F507" s="51" t="s">
        <v>769</v>
      </c>
      <c r="G507" s="1">
        <v>25590</v>
      </c>
      <c r="H507" t="s">
        <v>1</v>
      </c>
      <c r="I507" t="s">
        <v>2</v>
      </c>
      <c r="J507" s="50" t="s">
        <v>811</v>
      </c>
      <c r="K507" t="s">
        <v>818</v>
      </c>
      <c r="L507" s="2">
        <v>39762</v>
      </c>
      <c r="M507" t="s">
        <v>814</v>
      </c>
    </row>
    <row r="508" spans="1:13" x14ac:dyDescent="0.2">
      <c r="A508" s="66"/>
      <c r="B508" s="53">
        <v>12556998</v>
      </c>
      <c r="C508" t="s">
        <v>663</v>
      </c>
      <c r="D508" t="s">
        <v>20</v>
      </c>
      <c r="E508" s="44">
        <v>40</v>
      </c>
      <c r="F508" s="51" t="s">
        <v>769</v>
      </c>
      <c r="G508" s="1">
        <v>19850</v>
      </c>
      <c r="H508" t="s">
        <v>1</v>
      </c>
      <c r="I508" t="s">
        <v>2</v>
      </c>
      <c r="J508" s="50" t="s">
        <v>811</v>
      </c>
      <c r="K508" t="s">
        <v>818</v>
      </c>
      <c r="L508" s="2">
        <v>41730</v>
      </c>
      <c r="M508" t="s">
        <v>814</v>
      </c>
    </row>
    <row r="509" spans="1:13" x14ac:dyDescent="0.2">
      <c r="A509" s="66"/>
      <c r="B509" s="53">
        <v>15090263</v>
      </c>
      <c r="C509" t="s">
        <v>845</v>
      </c>
      <c r="D509" t="s">
        <v>20</v>
      </c>
      <c r="E509" s="44">
        <v>33</v>
      </c>
      <c r="F509" s="51" t="s">
        <v>768</v>
      </c>
      <c r="G509" s="1">
        <v>19235</v>
      </c>
      <c r="H509" t="s">
        <v>1</v>
      </c>
      <c r="I509" t="s">
        <v>2</v>
      </c>
      <c r="J509" s="49" t="s">
        <v>811</v>
      </c>
      <c r="K509" t="s">
        <v>818</v>
      </c>
      <c r="L509" s="2">
        <v>42156</v>
      </c>
      <c r="M509" t="s">
        <v>814</v>
      </c>
    </row>
    <row r="510" spans="1:13" x14ac:dyDescent="0.2">
      <c r="A510" s="66"/>
      <c r="B510" s="53">
        <v>13729960</v>
      </c>
      <c r="C510" t="s">
        <v>354</v>
      </c>
      <c r="D510" t="s">
        <v>0</v>
      </c>
      <c r="E510" s="44">
        <v>38</v>
      </c>
      <c r="F510" s="51" t="s">
        <v>769</v>
      </c>
      <c r="G510" s="1">
        <v>31810</v>
      </c>
      <c r="H510" t="s">
        <v>1</v>
      </c>
      <c r="I510" t="s">
        <v>2</v>
      </c>
      <c r="J510" s="49" t="s">
        <v>811</v>
      </c>
      <c r="K510" t="s">
        <v>815</v>
      </c>
      <c r="L510" s="2">
        <v>36927</v>
      </c>
      <c r="M510" t="s">
        <v>355</v>
      </c>
    </row>
    <row r="511" spans="1:13" x14ac:dyDescent="0.2">
      <c r="A511" s="66"/>
      <c r="B511" s="53">
        <v>8266022</v>
      </c>
      <c r="C511" t="s">
        <v>121</v>
      </c>
      <c r="D511" t="s">
        <v>0</v>
      </c>
      <c r="E511" s="44">
        <v>44</v>
      </c>
      <c r="F511" s="51" t="s">
        <v>769</v>
      </c>
      <c r="G511" s="1">
        <v>9775</v>
      </c>
      <c r="H511" t="s">
        <v>4</v>
      </c>
      <c r="I511" t="s">
        <v>2</v>
      </c>
      <c r="J511" s="50" t="s">
        <v>811</v>
      </c>
      <c r="K511" t="s">
        <v>815</v>
      </c>
      <c r="L511" s="2">
        <v>38093</v>
      </c>
      <c r="M511" t="s">
        <v>122</v>
      </c>
    </row>
    <row r="512" spans="1:13" x14ac:dyDescent="0.2">
      <c r="A512" s="66"/>
      <c r="B512" s="53">
        <v>12214533</v>
      </c>
      <c r="C512" t="s">
        <v>265</v>
      </c>
      <c r="D512" t="s">
        <v>0</v>
      </c>
      <c r="E512" s="44">
        <v>42</v>
      </c>
      <c r="F512" s="51" t="s">
        <v>769</v>
      </c>
      <c r="G512" s="1">
        <v>9775</v>
      </c>
      <c r="H512" t="s">
        <v>4</v>
      </c>
      <c r="I512" t="s">
        <v>2</v>
      </c>
      <c r="J512" s="50" t="s">
        <v>811</v>
      </c>
      <c r="K512" t="s">
        <v>815</v>
      </c>
      <c r="L512" s="2">
        <v>38215</v>
      </c>
      <c r="M512" t="s">
        <v>122</v>
      </c>
    </row>
    <row r="513" spans="1:13" x14ac:dyDescent="0.2">
      <c r="A513" s="66"/>
      <c r="B513" s="53">
        <v>12507159</v>
      </c>
      <c r="C513" t="s">
        <v>288</v>
      </c>
      <c r="D513" t="s">
        <v>0</v>
      </c>
      <c r="E513" s="44">
        <v>42</v>
      </c>
      <c r="F513" s="51" t="s">
        <v>769</v>
      </c>
      <c r="G513" s="1">
        <v>9275</v>
      </c>
      <c r="H513" t="s">
        <v>4</v>
      </c>
      <c r="I513" t="s">
        <v>2</v>
      </c>
      <c r="J513" s="49" t="s">
        <v>811</v>
      </c>
      <c r="K513" t="s">
        <v>815</v>
      </c>
      <c r="L513" s="2">
        <v>39995</v>
      </c>
      <c r="M513" t="s">
        <v>122</v>
      </c>
    </row>
    <row r="514" spans="1:13" x14ac:dyDescent="0.2">
      <c r="A514" s="66"/>
      <c r="B514" s="53">
        <v>18983863</v>
      </c>
      <c r="C514" t="s">
        <v>567</v>
      </c>
      <c r="D514" t="s">
        <v>0</v>
      </c>
      <c r="E514" s="44">
        <v>26</v>
      </c>
      <c r="F514" s="51" t="s">
        <v>769</v>
      </c>
      <c r="G514" s="1">
        <v>21790</v>
      </c>
      <c r="H514" t="s">
        <v>1</v>
      </c>
      <c r="I514" t="s">
        <v>2</v>
      </c>
      <c r="J514" s="50" t="s">
        <v>811</v>
      </c>
      <c r="K514" t="s">
        <v>815</v>
      </c>
      <c r="L514" s="2">
        <v>40546</v>
      </c>
      <c r="M514" t="s">
        <v>901</v>
      </c>
    </row>
    <row r="515" spans="1:13" x14ac:dyDescent="0.2">
      <c r="A515" s="66"/>
      <c r="B515" s="53">
        <v>24491023</v>
      </c>
      <c r="C515" t="s">
        <v>776</v>
      </c>
      <c r="D515" t="s">
        <v>0</v>
      </c>
      <c r="E515" s="44">
        <v>23</v>
      </c>
      <c r="F515" s="51" t="s">
        <v>768</v>
      </c>
      <c r="G515" s="1">
        <v>8535</v>
      </c>
      <c r="H515" t="s">
        <v>4</v>
      </c>
      <c r="I515" t="s">
        <v>2</v>
      </c>
      <c r="J515" s="50" t="s">
        <v>811</v>
      </c>
      <c r="K515" t="s">
        <v>815</v>
      </c>
      <c r="L515" s="2">
        <v>42110</v>
      </c>
      <c r="M515" t="s">
        <v>122</v>
      </c>
    </row>
    <row r="516" spans="1:13" x14ac:dyDescent="0.2">
      <c r="A516" s="66"/>
      <c r="B516" s="53">
        <v>4537331</v>
      </c>
      <c r="C516" t="s">
        <v>37</v>
      </c>
      <c r="D516" t="s">
        <v>0</v>
      </c>
      <c r="E516" s="44">
        <v>60</v>
      </c>
      <c r="F516" s="51" t="s">
        <v>769</v>
      </c>
      <c r="G516" s="1">
        <v>26975</v>
      </c>
      <c r="H516" t="s">
        <v>1</v>
      </c>
      <c r="I516" t="s">
        <v>2</v>
      </c>
      <c r="J516" s="50" t="s">
        <v>811</v>
      </c>
      <c r="K516" t="s">
        <v>816</v>
      </c>
      <c r="L516" s="2">
        <v>36612</v>
      </c>
      <c r="M516" t="s">
        <v>38</v>
      </c>
    </row>
    <row r="517" spans="1:13" x14ac:dyDescent="0.2">
      <c r="A517" s="66"/>
      <c r="B517" s="53">
        <v>12275024</v>
      </c>
      <c r="C517" t="s">
        <v>273</v>
      </c>
      <c r="D517" t="s">
        <v>0</v>
      </c>
      <c r="E517" s="44">
        <v>38</v>
      </c>
      <c r="F517" s="51" t="s">
        <v>769</v>
      </c>
      <c r="G517" s="1">
        <v>34060</v>
      </c>
      <c r="H517" t="s">
        <v>1</v>
      </c>
      <c r="I517" t="s">
        <v>2</v>
      </c>
      <c r="J517" s="50" t="s">
        <v>811</v>
      </c>
      <c r="K517" t="s">
        <v>816</v>
      </c>
      <c r="L517" s="2">
        <v>36648</v>
      </c>
      <c r="M517" t="s">
        <v>787</v>
      </c>
    </row>
    <row r="518" spans="1:13" x14ac:dyDescent="0.2">
      <c r="A518" s="66"/>
      <c r="B518" s="53">
        <v>11902776</v>
      </c>
      <c r="C518" t="s">
        <v>250</v>
      </c>
      <c r="D518" t="s">
        <v>0</v>
      </c>
      <c r="E518" s="44">
        <v>41</v>
      </c>
      <c r="F518" s="51" t="s">
        <v>769</v>
      </c>
      <c r="G518" s="1">
        <v>25160</v>
      </c>
      <c r="H518" t="s">
        <v>1</v>
      </c>
      <c r="I518" t="s">
        <v>2</v>
      </c>
      <c r="J518" s="50" t="s">
        <v>811</v>
      </c>
      <c r="K518" t="s">
        <v>816</v>
      </c>
      <c r="L518" s="2">
        <v>39027</v>
      </c>
      <c r="M518" t="s">
        <v>38</v>
      </c>
    </row>
    <row r="519" spans="1:13" x14ac:dyDescent="0.2">
      <c r="A519" s="66"/>
      <c r="B519" s="53">
        <v>16069805</v>
      </c>
      <c r="C519" t="s">
        <v>466</v>
      </c>
      <c r="D519" t="s">
        <v>20</v>
      </c>
      <c r="E519" s="44">
        <v>33</v>
      </c>
      <c r="F519" s="51" t="s">
        <v>769</v>
      </c>
      <c r="G519" s="1">
        <v>24940</v>
      </c>
      <c r="H519" t="s">
        <v>1</v>
      </c>
      <c r="I519" t="s">
        <v>2</v>
      </c>
      <c r="J519" s="50" t="s">
        <v>811</v>
      </c>
      <c r="K519" t="s">
        <v>816</v>
      </c>
      <c r="L519" s="2">
        <v>40725</v>
      </c>
      <c r="M519" t="s">
        <v>38</v>
      </c>
    </row>
    <row r="520" spans="1:13" x14ac:dyDescent="0.2">
      <c r="A520" s="66"/>
      <c r="B520" s="53">
        <v>19183896</v>
      </c>
      <c r="C520" t="s">
        <v>767</v>
      </c>
      <c r="D520" t="s">
        <v>0</v>
      </c>
      <c r="E520" s="44">
        <v>26</v>
      </c>
      <c r="F520" s="51" t="s">
        <v>769</v>
      </c>
      <c r="G520" s="1">
        <v>19240</v>
      </c>
      <c r="H520" t="s">
        <v>1</v>
      </c>
      <c r="I520" t="s">
        <v>2</v>
      </c>
      <c r="J520" s="50" t="s">
        <v>811</v>
      </c>
      <c r="K520" t="s">
        <v>816</v>
      </c>
      <c r="L520" s="2">
        <v>41137</v>
      </c>
      <c r="M520" t="s">
        <v>38</v>
      </c>
    </row>
    <row r="521" spans="1:13" x14ac:dyDescent="0.2">
      <c r="A521" s="66"/>
      <c r="B521" s="53">
        <v>17684899</v>
      </c>
      <c r="C521" t="s">
        <v>921</v>
      </c>
      <c r="D521" t="s">
        <v>20</v>
      </c>
      <c r="E521" s="44">
        <v>30</v>
      </c>
      <c r="F521" s="51" t="s">
        <v>768</v>
      </c>
      <c r="G521" s="1">
        <v>24000</v>
      </c>
      <c r="H521" t="s">
        <v>1</v>
      </c>
      <c r="I521" t="s">
        <v>2</v>
      </c>
      <c r="J521" s="50" t="s">
        <v>811</v>
      </c>
      <c r="K521" t="s">
        <v>816</v>
      </c>
      <c r="L521" s="2">
        <v>42310</v>
      </c>
      <c r="M521" t="s">
        <v>38</v>
      </c>
    </row>
    <row r="522" spans="1:13" x14ac:dyDescent="0.2">
      <c r="A522" s="66"/>
      <c r="B522" s="53">
        <v>11978204</v>
      </c>
      <c r="C522" t="s">
        <v>258</v>
      </c>
      <c r="D522" t="s">
        <v>20</v>
      </c>
      <c r="E522" s="44">
        <v>41</v>
      </c>
      <c r="F522" s="51" t="s">
        <v>769</v>
      </c>
      <c r="G522" s="1">
        <v>32585</v>
      </c>
      <c r="H522" t="s">
        <v>1</v>
      </c>
      <c r="I522" t="s">
        <v>2</v>
      </c>
      <c r="J522" s="50" t="s">
        <v>811</v>
      </c>
      <c r="K522" t="s">
        <v>817</v>
      </c>
      <c r="L522" s="2">
        <v>39463</v>
      </c>
      <c r="M522" t="s">
        <v>259</v>
      </c>
    </row>
    <row r="523" spans="1:13" x14ac:dyDescent="0.2">
      <c r="A523" s="66"/>
      <c r="B523" s="53">
        <v>15102768</v>
      </c>
      <c r="C523" t="s">
        <v>430</v>
      </c>
      <c r="D523" t="s">
        <v>0</v>
      </c>
      <c r="E523" s="44">
        <v>34</v>
      </c>
      <c r="F523" s="51" t="s">
        <v>769</v>
      </c>
      <c r="G523" s="1">
        <v>22450</v>
      </c>
      <c r="H523" t="s">
        <v>1</v>
      </c>
      <c r="I523" t="s">
        <v>2</v>
      </c>
      <c r="J523" s="50" t="s">
        <v>811</v>
      </c>
      <c r="K523" t="s">
        <v>817</v>
      </c>
      <c r="L523" s="2">
        <v>39630</v>
      </c>
      <c r="M523" t="s">
        <v>285</v>
      </c>
    </row>
    <row r="524" spans="1:13" x14ac:dyDescent="0.2">
      <c r="A524" s="66"/>
      <c r="B524" s="53">
        <v>13350979</v>
      </c>
      <c r="C524" t="s">
        <v>330</v>
      </c>
      <c r="D524" t="s">
        <v>20</v>
      </c>
      <c r="E524" s="44">
        <v>38</v>
      </c>
      <c r="F524" s="51" t="s">
        <v>769</v>
      </c>
      <c r="G524" s="1">
        <v>24855</v>
      </c>
      <c r="H524" t="s">
        <v>1</v>
      </c>
      <c r="I524" t="s">
        <v>2</v>
      </c>
      <c r="J524" s="50" t="s">
        <v>811</v>
      </c>
      <c r="K524" t="s">
        <v>817</v>
      </c>
      <c r="L524" s="2">
        <v>39650</v>
      </c>
      <c r="M524" t="s">
        <v>285</v>
      </c>
    </row>
    <row r="525" spans="1:13" x14ac:dyDescent="0.2">
      <c r="A525" s="66"/>
      <c r="B525" s="53">
        <v>10009831</v>
      </c>
      <c r="C525" t="s">
        <v>189</v>
      </c>
      <c r="D525" t="s">
        <v>20</v>
      </c>
      <c r="E525" s="44">
        <v>39</v>
      </c>
      <c r="F525" s="51" t="s">
        <v>769</v>
      </c>
      <c r="G525" s="1">
        <v>33700</v>
      </c>
      <c r="H525" t="s">
        <v>1</v>
      </c>
      <c r="I525" t="s">
        <v>2</v>
      </c>
      <c r="J525" s="49" t="s">
        <v>811</v>
      </c>
      <c r="K525" t="s">
        <v>817</v>
      </c>
      <c r="L525" s="2">
        <v>40756</v>
      </c>
      <c r="M525" t="s">
        <v>259</v>
      </c>
    </row>
    <row r="526" spans="1:13" x14ac:dyDescent="0.2">
      <c r="A526" s="66"/>
      <c r="B526" s="53">
        <v>17538691</v>
      </c>
      <c r="C526" t="s">
        <v>529</v>
      </c>
      <c r="D526" t="s">
        <v>0</v>
      </c>
      <c r="E526" s="44">
        <v>29</v>
      </c>
      <c r="F526" s="51" t="s">
        <v>769</v>
      </c>
      <c r="G526" s="1">
        <v>21430</v>
      </c>
      <c r="H526" t="s">
        <v>1</v>
      </c>
      <c r="I526" t="s">
        <v>2</v>
      </c>
      <c r="J526" s="50" t="s">
        <v>811</v>
      </c>
      <c r="K526" t="s">
        <v>817</v>
      </c>
      <c r="L526" s="2">
        <v>40911</v>
      </c>
      <c r="M526" t="s">
        <v>285</v>
      </c>
    </row>
    <row r="527" spans="1:13" x14ac:dyDescent="0.2">
      <c r="A527" s="66"/>
      <c r="B527" s="53">
        <v>18723576</v>
      </c>
      <c r="C527" t="s">
        <v>671</v>
      </c>
      <c r="D527" t="s">
        <v>20</v>
      </c>
      <c r="E527" s="44">
        <v>28</v>
      </c>
      <c r="F527" s="51" t="s">
        <v>769</v>
      </c>
      <c r="G527" s="1">
        <v>21380</v>
      </c>
      <c r="H527" t="s">
        <v>1</v>
      </c>
      <c r="I527" t="s">
        <v>2</v>
      </c>
      <c r="J527" s="50" t="s">
        <v>811</v>
      </c>
      <c r="K527" s="45" t="s">
        <v>817</v>
      </c>
      <c r="L527" s="2">
        <v>41764</v>
      </c>
      <c r="M527" t="s">
        <v>285</v>
      </c>
    </row>
    <row r="528" spans="1:13" x14ac:dyDescent="0.2">
      <c r="A528" s="66"/>
      <c r="B528" s="53">
        <v>17901230</v>
      </c>
      <c r="C528" t="s">
        <v>922</v>
      </c>
      <c r="D528" t="s">
        <v>20</v>
      </c>
      <c r="E528" s="44">
        <v>29</v>
      </c>
      <c r="F528" s="51" t="s">
        <v>768</v>
      </c>
      <c r="G528" s="1">
        <v>20300</v>
      </c>
      <c r="H528" t="s">
        <v>1</v>
      </c>
      <c r="I528" t="s">
        <v>2</v>
      </c>
      <c r="J528" s="50" t="s">
        <v>811</v>
      </c>
      <c r="K528" t="s">
        <v>817</v>
      </c>
      <c r="L528" s="2">
        <v>42310</v>
      </c>
      <c r="M528" t="s">
        <v>285</v>
      </c>
    </row>
    <row r="529" spans="1:13" x14ac:dyDescent="0.2">
      <c r="A529" s="66"/>
      <c r="B529" s="53">
        <v>7105412</v>
      </c>
      <c r="C529" t="s">
        <v>84</v>
      </c>
      <c r="D529" t="s">
        <v>20</v>
      </c>
      <c r="E529" s="44">
        <v>48</v>
      </c>
      <c r="F529" s="51" t="s">
        <v>769</v>
      </c>
      <c r="G529" s="1">
        <v>48115</v>
      </c>
      <c r="H529" t="s">
        <v>1</v>
      </c>
      <c r="I529" t="s">
        <v>2</v>
      </c>
      <c r="J529" s="50" t="s">
        <v>653</v>
      </c>
      <c r="K529" t="s">
        <v>846</v>
      </c>
      <c r="L529" s="2">
        <v>39174</v>
      </c>
      <c r="M529" t="s">
        <v>661</v>
      </c>
    </row>
    <row r="530" spans="1:13" x14ac:dyDescent="0.2">
      <c r="A530" s="66"/>
      <c r="B530" s="53">
        <v>8238726</v>
      </c>
      <c r="C530" t="s">
        <v>105</v>
      </c>
      <c r="D530" t="s">
        <v>0</v>
      </c>
      <c r="E530" s="44">
        <v>48</v>
      </c>
      <c r="F530" s="51" t="s">
        <v>769</v>
      </c>
      <c r="G530" s="1">
        <v>9549</v>
      </c>
      <c r="H530" t="s">
        <v>4</v>
      </c>
      <c r="I530" t="s">
        <v>2</v>
      </c>
      <c r="J530" s="50" t="s">
        <v>653</v>
      </c>
      <c r="K530" t="s">
        <v>847</v>
      </c>
      <c r="L530" s="2">
        <v>38353</v>
      </c>
      <c r="M530" t="s">
        <v>106</v>
      </c>
    </row>
    <row r="531" spans="1:13" x14ac:dyDescent="0.2">
      <c r="A531" s="66"/>
      <c r="B531" s="53">
        <v>10292449</v>
      </c>
      <c r="C531" t="s">
        <v>202</v>
      </c>
      <c r="D531" t="s">
        <v>0</v>
      </c>
      <c r="E531" s="44">
        <v>45</v>
      </c>
      <c r="F531" s="51" t="s">
        <v>769</v>
      </c>
      <c r="G531" s="1">
        <v>23855</v>
      </c>
      <c r="H531" t="s">
        <v>1</v>
      </c>
      <c r="I531" t="s">
        <v>2</v>
      </c>
      <c r="J531" s="50" t="s">
        <v>653</v>
      </c>
      <c r="K531" t="s">
        <v>847</v>
      </c>
      <c r="L531" s="2">
        <v>39366</v>
      </c>
      <c r="M531" t="s">
        <v>203</v>
      </c>
    </row>
    <row r="532" spans="1:13" x14ac:dyDescent="0.2">
      <c r="A532" s="66"/>
      <c r="B532" s="53">
        <v>22872049</v>
      </c>
      <c r="C532" t="s">
        <v>590</v>
      </c>
      <c r="D532" t="s">
        <v>20</v>
      </c>
      <c r="E532" s="44">
        <v>23</v>
      </c>
      <c r="F532" s="51" t="s">
        <v>769</v>
      </c>
      <c r="G532" s="1">
        <v>16675</v>
      </c>
      <c r="H532" t="s">
        <v>1</v>
      </c>
      <c r="I532" t="s">
        <v>2</v>
      </c>
      <c r="J532" s="50" t="s">
        <v>653</v>
      </c>
      <c r="K532" t="s">
        <v>847</v>
      </c>
      <c r="L532" s="2">
        <v>41122</v>
      </c>
      <c r="M532" t="s">
        <v>728</v>
      </c>
    </row>
    <row r="533" spans="1:13" x14ac:dyDescent="0.2">
      <c r="A533" s="66"/>
      <c r="B533" s="53">
        <v>15466025</v>
      </c>
      <c r="C533" t="s">
        <v>448</v>
      </c>
      <c r="D533" t="s">
        <v>0</v>
      </c>
      <c r="E533" s="44">
        <v>32</v>
      </c>
      <c r="F533" s="51" t="s">
        <v>769</v>
      </c>
      <c r="G533" s="1">
        <v>18175</v>
      </c>
      <c r="H533" t="s">
        <v>1</v>
      </c>
      <c r="I533" t="s">
        <v>2</v>
      </c>
      <c r="J533" s="50" t="s">
        <v>653</v>
      </c>
      <c r="K533" t="s">
        <v>847</v>
      </c>
      <c r="L533" s="2">
        <v>41261</v>
      </c>
      <c r="M533" t="s">
        <v>728</v>
      </c>
    </row>
    <row r="534" spans="1:13" x14ac:dyDescent="0.2">
      <c r="A534" s="66"/>
      <c r="B534" s="53">
        <v>12623652</v>
      </c>
      <c r="C534" t="s">
        <v>669</v>
      </c>
      <c r="D534" t="s">
        <v>20</v>
      </c>
      <c r="E534" s="44">
        <v>40</v>
      </c>
      <c r="F534" s="51" t="s">
        <v>769</v>
      </c>
      <c r="G534" s="1">
        <v>28080</v>
      </c>
      <c r="H534" t="s">
        <v>1</v>
      </c>
      <c r="I534" t="s">
        <v>2</v>
      </c>
      <c r="J534" s="50" t="s">
        <v>653</v>
      </c>
      <c r="K534" s="45" t="s">
        <v>847</v>
      </c>
      <c r="L534" s="2">
        <v>41764</v>
      </c>
      <c r="M534" t="s">
        <v>670</v>
      </c>
    </row>
    <row r="535" spans="1:13" x14ac:dyDescent="0.2">
      <c r="A535" s="66"/>
      <c r="B535" s="53">
        <v>17422671</v>
      </c>
      <c r="C535" t="s">
        <v>780</v>
      </c>
      <c r="D535" t="s">
        <v>20</v>
      </c>
      <c r="E535" s="44">
        <v>30</v>
      </c>
      <c r="F535" s="51" t="s">
        <v>768</v>
      </c>
      <c r="G535" s="1">
        <v>16675</v>
      </c>
      <c r="H535" t="s">
        <v>1</v>
      </c>
      <c r="I535" t="s">
        <v>2</v>
      </c>
      <c r="J535" s="50" t="s">
        <v>653</v>
      </c>
      <c r="K535" t="s">
        <v>847</v>
      </c>
      <c r="L535" s="2">
        <v>42100</v>
      </c>
      <c r="M535" t="s">
        <v>203</v>
      </c>
    </row>
    <row r="536" spans="1:13" x14ac:dyDescent="0.2">
      <c r="A536" s="66"/>
      <c r="B536" s="53">
        <v>8243760</v>
      </c>
      <c r="C536" t="s">
        <v>108</v>
      </c>
      <c r="D536" t="s">
        <v>0</v>
      </c>
      <c r="E536" s="44">
        <v>48</v>
      </c>
      <c r="F536" s="51" t="s">
        <v>769</v>
      </c>
      <c r="G536" s="1">
        <v>9775</v>
      </c>
      <c r="H536" t="s">
        <v>4</v>
      </c>
      <c r="I536" t="s">
        <v>2</v>
      </c>
      <c r="J536" s="50" t="s">
        <v>653</v>
      </c>
      <c r="K536" t="s">
        <v>848</v>
      </c>
      <c r="L536" s="2">
        <v>38215</v>
      </c>
      <c r="M536" t="s">
        <v>897</v>
      </c>
    </row>
    <row r="537" spans="1:13" x14ac:dyDescent="0.2">
      <c r="A537" s="66"/>
      <c r="B537" s="53">
        <v>6792918</v>
      </c>
      <c r="C537" t="s">
        <v>74</v>
      </c>
      <c r="D537" t="s">
        <v>0</v>
      </c>
      <c r="E537" s="44">
        <v>48</v>
      </c>
      <c r="F537" s="51" t="s">
        <v>769</v>
      </c>
      <c r="G537" s="1">
        <v>22940</v>
      </c>
      <c r="H537" t="s">
        <v>1</v>
      </c>
      <c r="I537" t="s">
        <v>2</v>
      </c>
      <c r="J537" s="50" t="s">
        <v>653</v>
      </c>
      <c r="K537" t="s">
        <v>848</v>
      </c>
      <c r="L537" s="2">
        <v>38353</v>
      </c>
      <c r="M537" t="s">
        <v>75</v>
      </c>
    </row>
    <row r="538" spans="1:13" x14ac:dyDescent="0.2">
      <c r="A538" s="66"/>
      <c r="B538" s="53">
        <v>8339343</v>
      </c>
      <c r="C538" t="s">
        <v>153</v>
      </c>
      <c r="D538" t="s">
        <v>0</v>
      </c>
      <c r="E538" s="44">
        <v>51</v>
      </c>
      <c r="F538" s="51" t="s">
        <v>769</v>
      </c>
      <c r="G538" s="1">
        <v>8925</v>
      </c>
      <c r="H538" t="s">
        <v>4</v>
      </c>
      <c r="I538" t="s">
        <v>2</v>
      </c>
      <c r="J538" s="50" t="s">
        <v>653</v>
      </c>
      <c r="K538" t="s">
        <v>848</v>
      </c>
      <c r="L538" s="2">
        <v>39934</v>
      </c>
      <c r="M538" t="s">
        <v>154</v>
      </c>
    </row>
    <row r="539" spans="1:13" x14ac:dyDescent="0.2">
      <c r="A539" s="66"/>
      <c r="B539" s="53">
        <v>13367585</v>
      </c>
      <c r="C539" t="s">
        <v>333</v>
      </c>
      <c r="D539" t="s">
        <v>0</v>
      </c>
      <c r="E539" s="44">
        <v>41</v>
      </c>
      <c r="F539" s="51" t="s">
        <v>769</v>
      </c>
      <c r="G539" s="1">
        <v>8925</v>
      </c>
      <c r="H539" t="s">
        <v>4</v>
      </c>
      <c r="I539" t="s">
        <v>2</v>
      </c>
      <c r="J539" s="50" t="s">
        <v>653</v>
      </c>
      <c r="K539" t="s">
        <v>848</v>
      </c>
      <c r="L539" s="2">
        <v>39934</v>
      </c>
      <c r="M539" t="s">
        <v>334</v>
      </c>
    </row>
    <row r="540" spans="1:13" x14ac:dyDescent="0.2">
      <c r="A540" s="66"/>
      <c r="B540" s="53">
        <v>13767963</v>
      </c>
      <c r="C540" t="s">
        <v>359</v>
      </c>
      <c r="D540" t="s">
        <v>0</v>
      </c>
      <c r="E540" s="44">
        <v>38</v>
      </c>
      <c r="F540" s="51" t="s">
        <v>769</v>
      </c>
      <c r="G540" s="1">
        <v>8925</v>
      </c>
      <c r="H540" t="s">
        <v>4</v>
      </c>
      <c r="I540" t="s">
        <v>2</v>
      </c>
      <c r="J540" s="50" t="s">
        <v>653</v>
      </c>
      <c r="K540" t="s">
        <v>848</v>
      </c>
      <c r="L540" s="2">
        <v>39934</v>
      </c>
      <c r="M540" t="s">
        <v>334</v>
      </c>
    </row>
    <row r="541" spans="1:13" x14ac:dyDescent="0.2">
      <c r="A541" s="66"/>
      <c r="B541" s="53">
        <v>19841543</v>
      </c>
      <c r="C541" t="s">
        <v>700</v>
      </c>
      <c r="D541" t="s">
        <v>0</v>
      </c>
      <c r="E541" s="44">
        <v>27</v>
      </c>
      <c r="F541" s="51" t="s">
        <v>769</v>
      </c>
      <c r="G541" s="1">
        <v>14920</v>
      </c>
      <c r="H541" s="36" t="s">
        <v>1</v>
      </c>
      <c r="I541" t="s">
        <v>2</v>
      </c>
      <c r="J541" s="50" t="s">
        <v>653</v>
      </c>
      <c r="K541" t="s">
        <v>848</v>
      </c>
      <c r="L541" s="2">
        <v>41852</v>
      </c>
      <c r="M541" t="s">
        <v>727</v>
      </c>
    </row>
    <row r="542" spans="1:13" x14ac:dyDescent="0.2">
      <c r="A542" s="66"/>
      <c r="B542" s="53">
        <v>18247183</v>
      </c>
      <c r="C542" t="s">
        <v>781</v>
      </c>
      <c r="D542" t="s">
        <v>0</v>
      </c>
      <c r="E542" s="44">
        <v>29</v>
      </c>
      <c r="F542" s="51" t="s">
        <v>768</v>
      </c>
      <c r="G542" s="1">
        <v>26325</v>
      </c>
      <c r="H542" t="s">
        <v>1</v>
      </c>
      <c r="I542" t="s">
        <v>2</v>
      </c>
      <c r="J542" s="49" t="s">
        <v>653</v>
      </c>
      <c r="K542" t="s">
        <v>848</v>
      </c>
      <c r="L542" s="2">
        <v>42100</v>
      </c>
      <c r="M542" t="s">
        <v>782</v>
      </c>
    </row>
    <row r="543" spans="1:13" x14ac:dyDescent="0.2">
      <c r="A543" s="66"/>
      <c r="B543" s="53">
        <v>19812737</v>
      </c>
      <c r="C543" t="s">
        <v>783</v>
      </c>
      <c r="D543" t="s">
        <v>0</v>
      </c>
      <c r="E543" s="44">
        <v>26</v>
      </c>
      <c r="F543" s="51" t="s">
        <v>768</v>
      </c>
      <c r="G543" s="1">
        <v>16675</v>
      </c>
      <c r="H543" t="s">
        <v>1</v>
      </c>
      <c r="I543" t="s">
        <v>2</v>
      </c>
      <c r="J543" s="50" t="s">
        <v>653</v>
      </c>
      <c r="K543" t="s">
        <v>848</v>
      </c>
      <c r="L543" s="2">
        <v>42100</v>
      </c>
      <c r="M543" t="s">
        <v>727</v>
      </c>
    </row>
    <row r="544" spans="1:13" x14ac:dyDescent="0.2">
      <c r="A544" s="66"/>
      <c r="B544" s="53">
        <v>17537061</v>
      </c>
      <c r="C544" t="s">
        <v>849</v>
      </c>
      <c r="D544" t="s">
        <v>0</v>
      </c>
      <c r="E544" s="44">
        <v>29</v>
      </c>
      <c r="F544" s="51" t="s">
        <v>768</v>
      </c>
      <c r="G544" s="1">
        <v>8535</v>
      </c>
      <c r="H544" t="s">
        <v>4</v>
      </c>
      <c r="I544" t="s">
        <v>2</v>
      </c>
      <c r="J544" s="50" t="s">
        <v>653</v>
      </c>
      <c r="K544" s="36" t="s">
        <v>848</v>
      </c>
      <c r="L544" s="2">
        <v>42170</v>
      </c>
      <c r="M544" t="s">
        <v>334</v>
      </c>
    </row>
    <row r="545" spans="1:13" x14ac:dyDescent="0.2">
      <c r="A545" s="66"/>
      <c r="B545" s="53">
        <v>7709429</v>
      </c>
      <c r="C545" t="s">
        <v>90</v>
      </c>
      <c r="D545" t="s">
        <v>20</v>
      </c>
      <c r="E545" s="44">
        <v>54</v>
      </c>
      <c r="F545" s="51" t="s">
        <v>769</v>
      </c>
      <c r="G545" s="1">
        <v>31065</v>
      </c>
      <c r="H545" t="s">
        <v>1</v>
      </c>
      <c r="I545" t="s">
        <v>2</v>
      </c>
      <c r="J545" s="50" t="s">
        <v>653</v>
      </c>
      <c r="K545" t="s">
        <v>850</v>
      </c>
      <c r="L545" s="2">
        <v>38169</v>
      </c>
      <c r="M545" t="s">
        <v>91</v>
      </c>
    </row>
    <row r="546" spans="1:13" x14ac:dyDescent="0.2">
      <c r="A546" s="66"/>
      <c r="B546" s="53">
        <v>12214833</v>
      </c>
      <c r="C546" t="s">
        <v>266</v>
      </c>
      <c r="D546" t="s">
        <v>20</v>
      </c>
      <c r="E546" s="44">
        <v>42</v>
      </c>
      <c r="F546" s="51" t="s">
        <v>769</v>
      </c>
      <c r="G546" s="1">
        <v>8925</v>
      </c>
      <c r="H546" t="s">
        <v>4</v>
      </c>
      <c r="I546" t="s">
        <v>2</v>
      </c>
      <c r="J546" s="50" t="s">
        <v>653</v>
      </c>
      <c r="K546" t="s">
        <v>850</v>
      </c>
      <c r="L546" s="2">
        <v>39819</v>
      </c>
      <c r="M546" t="s">
        <v>29</v>
      </c>
    </row>
    <row r="547" spans="1:13" x14ac:dyDescent="0.2">
      <c r="A547" s="66"/>
      <c r="B547" s="53">
        <v>5873865</v>
      </c>
      <c r="C547" t="s">
        <v>60</v>
      </c>
      <c r="D547" t="s">
        <v>0</v>
      </c>
      <c r="E547" s="44">
        <v>56</v>
      </c>
      <c r="F547" s="51" t="s">
        <v>769</v>
      </c>
      <c r="G547" s="1">
        <v>8925</v>
      </c>
      <c r="H547" t="s">
        <v>4</v>
      </c>
      <c r="I547" t="s">
        <v>2</v>
      </c>
      <c r="J547" s="50" t="s">
        <v>653</v>
      </c>
      <c r="K547" t="s">
        <v>850</v>
      </c>
      <c r="L547" s="2">
        <v>39934</v>
      </c>
      <c r="M547" t="s">
        <v>29</v>
      </c>
    </row>
    <row r="548" spans="1:13" x14ac:dyDescent="0.2">
      <c r="A548" s="66"/>
      <c r="B548" s="53">
        <v>6476383</v>
      </c>
      <c r="C548" t="s">
        <v>68</v>
      </c>
      <c r="D548" t="s">
        <v>20</v>
      </c>
      <c r="E548" s="44">
        <v>59</v>
      </c>
      <c r="F548" s="51" t="s">
        <v>769</v>
      </c>
      <c r="G548" s="1">
        <v>8975</v>
      </c>
      <c r="H548" t="s">
        <v>4</v>
      </c>
      <c r="I548" t="s">
        <v>2</v>
      </c>
      <c r="J548" s="50" t="s">
        <v>653</v>
      </c>
      <c r="K548" t="s">
        <v>850</v>
      </c>
      <c r="L548" s="2">
        <v>39934</v>
      </c>
      <c r="M548" t="s">
        <v>29</v>
      </c>
    </row>
    <row r="549" spans="1:13" x14ac:dyDescent="0.2">
      <c r="A549" s="66"/>
      <c r="B549" s="53">
        <v>8264133</v>
      </c>
      <c r="C549" t="s">
        <v>118</v>
      </c>
      <c r="D549" t="s">
        <v>20</v>
      </c>
      <c r="E549" s="44">
        <v>48</v>
      </c>
      <c r="F549" s="51" t="s">
        <v>769</v>
      </c>
      <c r="G549" s="1">
        <v>8925</v>
      </c>
      <c r="H549" t="s">
        <v>4</v>
      </c>
      <c r="I549" t="s">
        <v>2</v>
      </c>
      <c r="J549" s="49" t="s">
        <v>653</v>
      </c>
      <c r="K549" s="45" t="s">
        <v>850</v>
      </c>
      <c r="L549" s="2">
        <v>39934</v>
      </c>
      <c r="M549" t="s">
        <v>29</v>
      </c>
    </row>
    <row r="550" spans="1:13" x14ac:dyDescent="0.2">
      <c r="A550" s="66"/>
      <c r="B550" s="53">
        <v>10133211</v>
      </c>
      <c r="C550" t="s">
        <v>193</v>
      </c>
      <c r="D550" t="s">
        <v>20</v>
      </c>
      <c r="E550" s="44">
        <v>50</v>
      </c>
      <c r="F550" s="51" t="s">
        <v>769</v>
      </c>
      <c r="G550" s="1">
        <v>8925</v>
      </c>
      <c r="H550" t="s">
        <v>4</v>
      </c>
      <c r="I550" t="s">
        <v>2</v>
      </c>
      <c r="J550" s="50" t="s">
        <v>653</v>
      </c>
      <c r="K550" t="s">
        <v>850</v>
      </c>
      <c r="L550" s="2">
        <v>39934</v>
      </c>
      <c r="M550" t="s">
        <v>29</v>
      </c>
    </row>
    <row r="551" spans="1:13" x14ac:dyDescent="0.2">
      <c r="A551" s="66"/>
      <c r="B551" s="53">
        <v>10187987</v>
      </c>
      <c r="C551" t="s">
        <v>195</v>
      </c>
      <c r="D551" t="s">
        <v>0</v>
      </c>
      <c r="E551" s="44">
        <v>43</v>
      </c>
      <c r="F551" s="51" t="s">
        <v>769</v>
      </c>
      <c r="G551" s="1">
        <v>8925</v>
      </c>
      <c r="H551" t="s">
        <v>4</v>
      </c>
      <c r="I551" t="s">
        <v>2</v>
      </c>
      <c r="J551" s="50" t="s">
        <v>653</v>
      </c>
      <c r="K551" t="s">
        <v>850</v>
      </c>
      <c r="L551" s="2">
        <v>39934</v>
      </c>
      <c r="M551" t="s">
        <v>29</v>
      </c>
    </row>
    <row r="552" spans="1:13" x14ac:dyDescent="0.2">
      <c r="A552" s="66"/>
      <c r="B552" s="53">
        <v>14028560</v>
      </c>
      <c r="C552" t="s">
        <v>373</v>
      </c>
      <c r="D552" t="s">
        <v>20</v>
      </c>
      <c r="E552" s="44">
        <v>38</v>
      </c>
      <c r="F552" s="51" t="s">
        <v>769</v>
      </c>
      <c r="G552" s="1">
        <v>8925</v>
      </c>
      <c r="H552" t="s">
        <v>4</v>
      </c>
      <c r="I552" t="s">
        <v>2</v>
      </c>
      <c r="J552" s="50" t="s">
        <v>653</v>
      </c>
      <c r="K552" t="s">
        <v>850</v>
      </c>
      <c r="L552" s="2">
        <v>39934</v>
      </c>
      <c r="M552" t="s">
        <v>29</v>
      </c>
    </row>
    <row r="553" spans="1:13" x14ac:dyDescent="0.2">
      <c r="A553" s="66"/>
      <c r="B553" s="53">
        <v>14824571</v>
      </c>
      <c r="C553" t="s">
        <v>426</v>
      </c>
      <c r="D553" t="s">
        <v>20</v>
      </c>
      <c r="E553" s="44">
        <v>35</v>
      </c>
      <c r="F553" s="51" t="s">
        <v>769</v>
      </c>
      <c r="G553" s="1">
        <v>8925</v>
      </c>
      <c r="H553" t="s">
        <v>4</v>
      </c>
      <c r="I553" t="s">
        <v>2</v>
      </c>
      <c r="J553" s="50" t="s">
        <v>653</v>
      </c>
      <c r="K553" t="s">
        <v>850</v>
      </c>
      <c r="L553" s="2">
        <v>39934</v>
      </c>
      <c r="M553" t="s">
        <v>29</v>
      </c>
    </row>
    <row r="554" spans="1:13" x14ac:dyDescent="0.2">
      <c r="A554" s="66"/>
      <c r="B554" s="53">
        <v>17155358</v>
      </c>
      <c r="C554" t="s">
        <v>507</v>
      </c>
      <c r="D554" t="s">
        <v>20</v>
      </c>
      <c r="E554" s="44">
        <v>31</v>
      </c>
      <c r="F554" s="51" t="s">
        <v>769</v>
      </c>
      <c r="G554" s="1">
        <v>8925</v>
      </c>
      <c r="H554" t="s">
        <v>4</v>
      </c>
      <c r="I554" t="s">
        <v>2</v>
      </c>
      <c r="J554" s="50" t="s">
        <v>653</v>
      </c>
      <c r="K554" t="s">
        <v>850</v>
      </c>
      <c r="L554" s="2">
        <v>39934</v>
      </c>
      <c r="M554" t="s">
        <v>29</v>
      </c>
    </row>
    <row r="555" spans="1:13" x14ac:dyDescent="0.2">
      <c r="A555" s="66"/>
      <c r="B555" s="53">
        <v>8259220</v>
      </c>
      <c r="C555" t="s">
        <v>116</v>
      </c>
      <c r="D555" t="s">
        <v>20</v>
      </c>
      <c r="E555" s="44">
        <v>46</v>
      </c>
      <c r="F555" s="51" t="s">
        <v>769</v>
      </c>
      <c r="G555" s="1">
        <v>8925</v>
      </c>
      <c r="H555" t="s">
        <v>4</v>
      </c>
      <c r="I555" t="s">
        <v>2</v>
      </c>
      <c r="J555" s="50" t="s">
        <v>653</v>
      </c>
      <c r="K555" t="s">
        <v>850</v>
      </c>
      <c r="L555" s="2">
        <v>39965</v>
      </c>
      <c r="M555" t="s">
        <v>29</v>
      </c>
    </row>
    <row r="556" spans="1:13" x14ac:dyDescent="0.2">
      <c r="A556" s="66"/>
      <c r="B556" s="53">
        <v>9745852</v>
      </c>
      <c r="C556" t="s">
        <v>183</v>
      </c>
      <c r="D556" t="s">
        <v>20</v>
      </c>
      <c r="E556" s="44">
        <v>53</v>
      </c>
      <c r="F556" s="51" t="s">
        <v>769</v>
      </c>
      <c r="G556" s="1">
        <v>8925</v>
      </c>
      <c r="H556" t="s">
        <v>4</v>
      </c>
      <c r="I556" t="s">
        <v>2</v>
      </c>
      <c r="J556" s="50" t="s">
        <v>653</v>
      </c>
      <c r="K556" t="s">
        <v>850</v>
      </c>
      <c r="L556" s="2">
        <v>40634</v>
      </c>
      <c r="M556" t="s">
        <v>29</v>
      </c>
    </row>
    <row r="557" spans="1:13" x14ac:dyDescent="0.2">
      <c r="A557" s="66"/>
      <c r="B557" s="53">
        <v>11415533</v>
      </c>
      <c r="C557" t="s">
        <v>224</v>
      </c>
      <c r="D557" t="s">
        <v>0</v>
      </c>
      <c r="E557" s="44">
        <v>47</v>
      </c>
      <c r="F557" s="51" t="s">
        <v>769</v>
      </c>
      <c r="G557" s="1">
        <v>8925</v>
      </c>
      <c r="H557" t="s">
        <v>4</v>
      </c>
      <c r="I557" t="s">
        <v>2</v>
      </c>
      <c r="J557" s="50" t="s">
        <v>653</v>
      </c>
      <c r="K557" t="s">
        <v>850</v>
      </c>
      <c r="L557" s="2">
        <v>40634</v>
      </c>
      <c r="M557" t="s">
        <v>29</v>
      </c>
    </row>
    <row r="558" spans="1:13" x14ac:dyDescent="0.2">
      <c r="A558" s="66"/>
      <c r="B558" s="53">
        <v>8321946</v>
      </c>
      <c r="C558" t="s">
        <v>145</v>
      </c>
      <c r="D558" t="s">
        <v>0</v>
      </c>
      <c r="E558" s="44">
        <v>55</v>
      </c>
      <c r="F558" s="51" t="s">
        <v>769</v>
      </c>
      <c r="G558" s="1">
        <v>20800</v>
      </c>
      <c r="H558" t="s">
        <v>1</v>
      </c>
      <c r="I558" t="s">
        <v>2</v>
      </c>
      <c r="J558" s="50" t="s">
        <v>653</v>
      </c>
      <c r="K558" t="s">
        <v>851</v>
      </c>
      <c r="L558" s="2">
        <v>40848</v>
      </c>
      <c r="M558" t="s">
        <v>923</v>
      </c>
    </row>
    <row r="559" spans="1:13" x14ac:dyDescent="0.2">
      <c r="A559" s="66"/>
      <c r="B559" s="53">
        <v>8858945</v>
      </c>
      <c r="C559" t="s">
        <v>173</v>
      </c>
      <c r="D559" t="s">
        <v>0</v>
      </c>
      <c r="E559" s="44">
        <v>54</v>
      </c>
      <c r="F559" s="51" t="s">
        <v>769</v>
      </c>
      <c r="G559" s="1">
        <v>20800</v>
      </c>
      <c r="H559" t="s">
        <v>1</v>
      </c>
      <c r="I559" t="s">
        <v>2</v>
      </c>
      <c r="J559" s="50" t="s">
        <v>653</v>
      </c>
      <c r="K559" t="s">
        <v>851</v>
      </c>
      <c r="L559" s="2">
        <v>40848</v>
      </c>
      <c r="M559" t="s">
        <v>923</v>
      </c>
    </row>
    <row r="560" spans="1:13" x14ac:dyDescent="0.2">
      <c r="A560" s="66"/>
      <c r="B560" s="53">
        <v>13368737</v>
      </c>
      <c r="C560" t="s">
        <v>335</v>
      </c>
      <c r="D560" t="s">
        <v>0</v>
      </c>
      <c r="E560" s="44">
        <v>37</v>
      </c>
      <c r="F560" s="51" t="s">
        <v>769</v>
      </c>
      <c r="G560" s="1">
        <v>21450</v>
      </c>
      <c r="H560" t="s">
        <v>1</v>
      </c>
      <c r="I560" t="s">
        <v>2</v>
      </c>
      <c r="J560" s="50" t="s">
        <v>653</v>
      </c>
      <c r="K560" t="s">
        <v>851</v>
      </c>
      <c r="L560" s="2">
        <v>40848</v>
      </c>
      <c r="M560" t="s">
        <v>923</v>
      </c>
    </row>
    <row r="561" spans="1:13" x14ac:dyDescent="0.2">
      <c r="A561" s="66"/>
      <c r="B561" s="53">
        <v>15191090</v>
      </c>
      <c r="C561" t="s">
        <v>434</v>
      </c>
      <c r="D561" t="s">
        <v>0</v>
      </c>
      <c r="E561" s="44">
        <v>35</v>
      </c>
      <c r="F561" s="51" t="s">
        <v>769</v>
      </c>
      <c r="G561" s="1">
        <v>31065</v>
      </c>
      <c r="H561" t="s">
        <v>1</v>
      </c>
      <c r="I561" t="s">
        <v>2</v>
      </c>
      <c r="J561" s="50" t="s">
        <v>653</v>
      </c>
      <c r="K561" t="s">
        <v>851</v>
      </c>
      <c r="L561" s="2">
        <v>40848</v>
      </c>
      <c r="M561" t="s">
        <v>435</v>
      </c>
    </row>
    <row r="562" spans="1:13" x14ac:dyDescent="0.2">
      <c r="A562" s="66"/>
      <c r="B562" s="53">
        <v>3638697</v>
      </c>
      <c r="C562" t="s">
        <v>17</v>
      </c>
      <c r="D562" t="s">
        <v>0</v>
      </c>
      <c r="E562" s="44">
        <v>67</v>
      </c>
      <c r="F562" s="51" t="s">
        <v>769</v>
      </c>
      <c r="G562" s="1">
        <v>26830</v>
      </c>
      <c r="H562" t="s">
        <v>1</v>
      </c>
      <c r="I562" t="s">
        <v>27</v>
      </c>
      <c r="J562" s="50" t="s">
        <v>813</v>
      </c>
      <c r="K562" t="s">
        <v>924</v>
      </c>
      <c r="L562" s="2">
        <v>36339</v>
      </c>
      <c r="M562" t="s">
        <v>902</v>
      </c>
    </row>
    <row r="563" spans="1:13" x14ac:dyDescent="0.2">
      <c r="A563" s="66"/>
      <c r="B563" s="53">
        <v>12276387</v>
      </c>
      <c r="C563" t="s">
        <v>276</v>
      </c>
      <c r="D563" t="s">
        <v>0</v>
      </c>
      <c r="E563" s="44">
        <v>39</v>
      </c>
      <c r="F563" s="51" t="s">
        <v>769</v>
      </c>
      <c r="G563" s="1">
        <v>37720</v>
      </c>
      <c r="H563" t="s">
        <v>1</v>
      </c>
      <c r="I563" t="s">
        <v>2</v>
      </c>
      <c r="J563" s="50" t="s">
        <v>810</v>
      </c>
      <c r="K563" t="s">
        <v>924</v>
      </c>
      <c r="L563" s="2">
        <v>36465</v>
      </c>
      <c r="M563" t="s">
        <v>902</v>
      </c>
    </row>
    <row r="564" spans="1:13" x14ac:dyDescent="0.2">
      <c r="A564" s="66"/>
      <c r="B564" s="53">
        <v>12621136</v>
      </c>
      <c r="C564" t="s">
        <v>302</v>
      </c>
      <c r="D564" t="s">
        <v>0</v>
      </c>
      <c r="E564" s="44">
        <v>39</v>
      </c>
      <c r="F564" s="51" t="s">
        <v>769</v>
      </c>
      <c r="G564" s="1">
        <v>24465</v>
      </c>
      <c r="H564" t="s">
        <v>1</v>
      </c>
      <c r="I564" t="s">
        <v>2</v>
      </c>
      <c r="J564" s="50" t="s">
        <v>811</v>
      </c>
      <c r="K564" t="s">
        <v>924</v>
      </c>
      <c r="L564" s="2">
        <v>37991</v>
      </c>
      <c r="M564" t="s">
        <v>902</v>
      </c>
    </row>
    <row r="565" spans="1:13" x14ac:dyDescent="0.2">
      <c r="A565" s="66"/>
      <c r="B565" s="53">
        <v>9821651</v>
      </c>
      <c r="C565" t="s">
        <v>187</v>
      </c>
      <c r="D565" t="s">
        <v>0</v>
      </c>
      <c r="E565" s="44">
        <v>45</v>
      </c>
      <c r="F565" s="51" t="s">
        <v>769</v>
      </c>
      <c r="G565" s="1">
        <v>31625</v>
      </c>
      <c r="H565" t="s">
        <v>1</v>
      </c>
      <c r="I565" t="s">
        <v>2</v>
      </c>
      <c r="J565" s="50" t="s">
        <v>812</v>
      </c>
      <c r="K565" t="s">
        <v>924</v>
      </c>
      <c r="L565" s="2">
        <v>38117</v>
      </c>
      <c r="M565" t="s">
        <v>903</v>
      </c>
    </row>
    <row r="566" spans="1:13" x14ac:dyDescent="0.2">
      <c r="A566" s="66"/>
      <c r="B566" s="53">
        <v>17894483</v>
      </c>
      <c r="C566" t="s">
        <v>539</v>
      </c>
      <c r="D566" t="s">
        <v>0</v>
      </c>
      <c r="E566" s="44">
        <v>29</v>
      </c>
      <c r="F566" s="51" t="s">
        <v>769</v>
      </c>
      <c r="G566" s="1">
        <v>22630</v>
      </c>
      <c r="H566" t="s">
        <v>1</v>
      </c>
      <c r="I566" t="s">
        <v>2</v>
      </c>
      <c r="J566" s="50" t="s">
        <v>649</v>
      </c>
      <c r="K566" t="s">
        <v>924</v>
      </c>
      <c r="L566" s="2">
        <v>40756</v>
      </c>
      <c r="M566" t="s">
        <v>902</v>
      </c>
    </row>
    <row r="567" spans="1:13" x14ac:dyDescent="0.2">
      <c r="B567" s="3"/>
      <c r="E567" s="44"/>
      <c r="F567" s="51"/>
      <c r="G567" s="1"/>
      <c r="J567" s="49"/>
      <c r="L567" s="2"/>
    </row>
    <row r="568" spans="1:13" x14ac:dyDescent="0.2">
      <c r="B568" s="3"/>
      <c r="E568" s="44"/>
      <c r="F568" s="51"/>
      <c r="G568" s="1"/>
      <c r="J568" s="49"/>
      <c r="L568" s="2"/>
    </row>
    <row r="569" spans="1:13" ht="23.25" x14ac:dyDescent="0.2">
      <c r="B569" s="38" t="s">
        <v>655</v>
      </c>
      <c r="C569" s="38"/>
    </row>
    <row r="570" spans="1:13" x14ac:dyDescent="0.2">
      <c r="A570" t="s">
        <v>678</v>
      </c>
      <c r="B570" s="39" t="s">
        <v>649</v>
      </c>
      <c r="C570" s="40">
        <f t="shared" ref="C570:C584" si="0">COUNTIF(J$13:J$566,B570)</f>
        <v>25</v>
      </c>
      <c r="E570" s="47"/>
    </row>
    <row r="571" spans="1:13" x14ac:dyDescent="0.2">
      <c r="A571" t="s">
        <v>679</v>
      </c>
      <c r="B571" s="46" t="s">
        <v>906</v>
      </c>
      <c r="C571" s="40">
        <f t="shared" si="0"/>
        <v>6</v>
      </c>
      <c r="E571" s="47"/>
    </row>
    <row r="572" spans="1:13" x14ac:dyDescent="0.2">
      <c r="A572" t="s">
        <v>680</v>
      </c>
      <c r="B572" s="39" t="s">
        <v>650</v>
      </c>
      <c r="C572" s="40">
        <f t="shared" si="0"/>
        <v>2</v>
      </c>
    </row>
    <row r="573" spans="1:13" x14ac:dyDescent="0.2">
      <c r="A573" t="s">
        <v>681</v>
      </c>
      <c r="B573" s="39" t="s">
        <v>221</v>
      </c>
      <c r="C573" s="40">
        <f t="shared" si="0"/>
        <v>18</v>
      </c>
    </row>
    <row r="574" spans="1:13" x14ac:dyDescent="0.2">
      <c r="A574" t="s">
        <v>682</v>
      </c>
      <c r="B574" s="39" t="s">
        <v>76</v>
      </c>
      <c r="C574" s="40">
        <f t="shared" si="0"/>
        <v>22</v>
      </c>
    </row>
    <row r="575" spans="1:13" x14ac:dyDescent="0.2">
      <c r="A575" t="s">
        <v>683</v>
      </c>
      <c r="B575" s="46" t="s">
        <v>813</v>
      </c>
      <c r="C575" s="48">
        <f t="shared" si="0"/>
        <v>207</v>
      </c>
    </row>
    <row r="576" spans="1:13" x14ac:dyDescent="0.2">
      <c r="A576" s="36" t="s">
        <v>684</v>
      </c>
      <c r="B576" s="39" t="s">
        <v>651</v>
      </c>
      <c r="C576" s="48">
        <f t="shared" si="0"/>
        <v>31</v>
      </c>
    </row>
    <row r="577" spans="1:3" x14ac:dyDescent="0.2">
      <c r="A577" s="36" t="s">
        <v>685</v>
      </c>
      <c r="B577" s="39" t="s">
        <v>652</v>
      </c>
      <c r="C577" s="48">
        <f t="shared" si="0"/>
        <v>25</v>
      </c>
    </row>
    <row r="578" spans="1:3" x14ac:dyDescent="0.2">
      <c r="A578" s="36" t="s">
        <v>686</v>
      </c>
      <c r="B578" s="39" t="s">
        <v>653</v>
      </c>
      <c r="C578" s="48">
        <f t="shared" si="0"/>
        <v>33</v>
      </c>
    </row>
    <row r="579" spans="1:3" x14ac:dyDescent="0.2">
      <c r="A579" s="36" t="s">
        <v>687</v>
      </c>
      <c r="B579" s="46" t="s">
        <v>812</v>
      </c>
      <c r="C579" s="48">
        <f t="shared" si="0"/>
        <v>9</v>
      </c>
    </row>
    <row r="580" spans="1:3" x14ac:dyDescent="0.2">
      <c r="A580" s="36" t="s">
        <v>688</v>
      </c>
      <c r="B580" s="39" t="s">
        <v>654</v>
      </c>
      <c r="C580" s="48">
        <f t="shared" si="0"/>
        <v>27</v>
      </c>
    </row>
    <row r="581" spans="1:3" x14ac:dyDescent="0.2">
      <c r="A581" s="36" t="s">
        <v>689</v>
      </c>
      <c r="B581" s="39" t="s">
        <v>597</v>
      </c>
      <c r="C581" s="48">
        <f t="shared" si="0"/>
        <v>105</v>
      </c>
    </row>
    <row r="582" spans="1:3" x14ac:dyDescent="0.2">
      <c r="A582" s="36" t="s">
        <v>690</v>
      </c>
      <c r="B582" s="46" t="s">
        <v>811</v>
      </c>
      <c r="C582" s="48">
        <f t="shared" si="0"/>
        <v>32</v>
      </c>
    </row>
    <row r="583" spans="1:3" x14ac:dyDescent="0.2">
      <c r="A583" s="36" t="s">
        <v>691</v>
      </c>
      <c r="B583" s="46" t="s">
        <v>810</v>
      </c>
      <c r="C583" s="40">
        <f t="shared" si="0"/>
        <v>12</v>
      </c>
    </row>
    <row r="584" spans="1:3" x14ac:dyDescent="0.2">
      <c r="A584" s="36" t="s">
        <v>692</v>
      </c>
      <c r="B584" s="39" t="s">
        <v>16</v>
      </c>
      <c r="C584" s="40">
        <f t="shared" si="0"/>
        <v>0</v>
      </c>
    </row>
    <row r="585" spans="1:3" ht="27" x14ac:dyDescent="0.2">
      <c r="C585" s="41">
        <f>SUM(C570:C584)</f>
        <v>554</v>
      </c>
    </row>
  </sheetData>
  <sheetProtection password="CAEF" sheet="1" objects="1" scenarios="1" autoFilter="0"/>
  <autoFilter ref="A12:M566"/>
  <sortState ref="A13:T562">
    <sortCondition ref="K13:K562"/>
  </sortState>
  <customSheetViews>
    <customSheetView guid="{DD3EE430-41E1-4057-8BE1-25319396213E}" showPageBreaks="1" showAutoFilter="1">
      <pane ySplit="13" topLeftCell="A518" activePane="bottomLeft" state="frozen"/>
      <selection pane="bottomLeft" activeCell="D5" sqref="D5"/>
      <pageMargins left="0.19685039370078741" right="0.27559055118110237" top="0.19685039370078741" bottom="0.27559055118110237" header="0.15748031496062992" footer="0.19685039370078741"/>
      <pageSetup orientation="portrait" r:id="rId1"/>
      <headerFooter alignWithMargins="0"/>
      <autoFilter ref="A13:M533"/>
    </customSheetView>
  </customSheetViews>
  <phoneticPr fontId="0" type="noConversion"/>
  <printOptions horizontalCentered="1"/>
  <pageMargins left="0.19685039370078741" right="0.27559055118110237" top="0.86614173228346458" bottom="0.27559055118110237" header="0.15748031496062992" footer="0.19685039370078741"/>
  <pageSetup scale="10" orientation="landscape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025" r:id="rId5" name="Image1">
          <controlPr defaultSize="0" autoLine="0" r:id="rId6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1</xdr:col>
                <xdr:colOff>1685925</xdr:colOff>
                <xdr:row>9</xdr:row>
                <xdr:rowOff>104775</xdr:rowOff>
              </to>
            </anchor>
          </controlPr>
        </control>
      </mc:Choice>
      <mc:Fallback>
        <control shapeId="1025" r:id="rId5" name="Ima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2:K26"/>
  <sheetViews>
    <sheetView workbookViewId="0">
      <selection activeCell="B11" sqref="B11"/>
    </sheetView>
  </sheetViews>
  <sheetFormatPr baseColWidth="10" defaultColWidth="9.140625" defaultRowHeight="12.75" x14ac:dyDescent="0.2"/>
  <cols>
    <col min="1" max="1" width="2.28515625" style="13" customWidth="1"/>
    <col min="2" max="2" width="26.140625" style="13" customWidth="1"/>
    <col min="3" max="3" width="23.28515625" style="13" customWidth="1"/>
    <col min="4" max="4" width="12.7109375" style="13" customWidth="1"/>
    <col min="5" max="5" width="8.7109375" style="14" customWidth="1"/>
    <col min="6" max="6" width="11.140625" style="13" customWidth="1"/>
    <col min="7" max="7" width="21" style="13" bestFit="1" customWidth="1"/>
    <col min="8" max="8" width="21.140625" style="13" customWidth="1"/>
    <col min="9" max="9" width="35.42578125" style="13" bestFit="1" customWidth="1"/>
    <col min="10" max="10" width="18.28515625" style="13" customWidth="1"/>
    <col min="11" max="11" width="30.85546875" style="13" bestFit="1" customWidth="1"/>
    <col min="12" max="16384" width="9.140625" style="13"/>
  </cols>
  <sheetData>
    <row r="2" spans="1:11" x14ac:dyDescent="0.2">
      <c r="J2" s="15" t="s">
        <v>598</v>
      </c>
      <c r="K2" s="16">
        <f>'Personal Propio FN'!M2</f>
        <v>42308</v>
      </c>
    </row>
    <row r="6" spans="1:11" ht="27" x14ac:dyDescent="0.2">
      <c r="C6" s="17" t="s">
        <v>613</v>
      </c>
    </row>
    <row r="10" spans="1:11" ht="15.75" x14ac:dyDescent="0.2">
      <c r="B10" s="18"/>
      <c r="C10" s="19" t="s">
        <v>600</v>
      </c>
      <c r="D10" s="14"/>
      <c r="F10" s="20">
        <f>COUNT(B13:B26)</f>
        <v>14</v>
      </c>
      <c r="G10" s="21" t="s">
        <v>601</v>
      </c>
      <c r="I10" s="20">
        <f>SUBTOTAL(2,B13:B26)</f>
        <v>14</v>
      </c>
    </row>
    <row r="12" spans="1:11" x14ac:dyDescent="0.2">
      <c r="B12" s="22" t="s">
        <v>614</v>
      </c>
      <c r="C12" s="23" t="s">
        <v>615</v>
      </c>
      <c r="D12" s="23" t="s">
        <v>604</v>
      </c>
      <c r="E12" s="24" t="s">
        <v>605</v>
      </c>
      <c r="F12" s="22" t="s">
        <v>616</v>
      </c>
      <c r="G12" s="23" t="s">
        <v>617</v>
      </c>
      <c r="H12" s="22" t="s">
        <v>608</v>
      </c>
      <c r="I12" s="22" t="s">
        <v>618</v>
      </c>
      <c r="J12" s="25" t="s">
        <v>619</v>
      </c>
      <c r="K12" s="23" t="s">
        <v>595</v>
      </c>
    </row>
    <row r="13" spans="1:11" x14ac:dyDescent="0.2">
      <c r="A13" s="26"/>
      <c r="B13" s="27">
        <v>10429290</v>
      </c>
      <c r="C13" s="13" t="s">
        <v>620</v>
      </c>
      <c r="D13" s="13" t="s">
        <v>0</v>
      </c>
      <c r="E13" s="28"/>
      <c r="F13" s="29"/>
      <c r="G13" s="13" t="s">
        <v>621</v>
      </c>
      <c r="H13" s="13" t="s">
        <v>2</v>
      </c>
      <c r="I13" s="13" t="s">
        <v>622</v>
      </c>
      <c r="J13" s="30"/>
      <c r="K13" s="13" t="s">
        <v>623</v>
      </c>
    </row>
    <row r="14" spans="1:11" x14ac:dyDescent="0.2">
      <c r="A14" s="13">
        <v>1</v>
      </c>
      <c r="B14" s="31">
        <v>11886366</v>
      </c>
      <c r="C14" s="32" t="s">
        <v>624</v>
      </c>
      <c r="D14" s="32" t="s">
        <v>20</v>
      </c>
      <c r="E14" s="33"/>
      <c r="F14" s="34"/>
      <c r="G14" s="32" t="s">
        <v>621</v>
      </c>
      <c r="H14" s="32" t="s">
        <v>2</v>
      </c>
      <c r="I14" s="32" t="s">
        <v>625</v>
      </c>
      <c r="J14" s="35"/>
      <c r="K14" s="32" t="s">
        <v>626</v>
      </c>
    </row>
    <row r="15" spans="1:11" x14ac:dyDescent="0.2">
      <c r="B15" s="27">
        <v>11126165</v>
      </c>
      <c r="C15" s="13" t="s">
        <v>627</v>
      </c>
      <c r="D15" s="13" t="s">
        <v>0</v>
      </c>
      <c r="E15" s="28"/>
      <c r="F15" s="29"/>
      <c r="G15" s="13" t="s">
        <v>621</v>
      </c>
      <c r="H15" s="13" t="s">
        <v>2</v>
      </c>
      <c r="I15" s="13" t="s">
        <v>740</v>
      </c>
      <c r="J15" s="30"/>
      <c r="K15" s="13" t="s">
        <v>628</v>
      </c>
    </row>
    <row r="16" spans="1:11" x14ac:dyDescent="0.2">
      <c r="B16" s="31">
        <v>6730387</v>
      </c>
      <c r="C16" s="32" t="s">
        <v>629</v>
      </c>
      <c r="D16" s="32" t="s">
        <v>0</v>
      </c>
      <c r="E16" s="33"/>
      <c r="F16" s="34"/>
      <c r="G16" s="32" t="s">
        <v>621</v>
      </c>
      <c r="H16" s="32" t="s">
        <v>2</v>
      </c>
      <c r="I16" s="32" t="s">
        <v>741</v>
      </c>
      <c r="J16" s="35"/>
      <c r="K16" s="32" t="s">
        <v>22</v>
      </c>
    </row>
    <row r="17" spans="1:11" x14ac:dyDescent="0.2">
      <c r="A17" s="13">
        <v>1</v>
      </c>
      <c r="B17" s="27">
        <v>13276119</v>
      </c>
      <c r="C17" s="54" t="s">
        <v>909</v>
      </c>
      <c r="D17" s="13" t="s">
        <v>0</v>
      </c>
      <c r="E17" s="28"/>
      <c r="F17" s="29"/>
      <c r="G17" s="13" t="s">
        <v>621</v>
      </c>
      <c r="H17" s="13" t="s">
        <v>2</v>
      </c>
      <c r="I17" s="13" t="s">
        <v>630</v>
      </c>
      <c r="J17" s="30"/>
      <c r="K17" s="13" t="s">
        <v>631</v>
      </c>
    </row>
    <row r="18" spans="1:11" x14ac:dyDescent="0.2">
      <c r="A18" s="13">
        <v>1</v>
      </c>
      <c r="B18" s="31">
        <v>8253860</v>
      </c>
      <c r="C18" s="32" t="s">
        <v>632</v>
      </c>
      <c r="D18" s="32" t="s">
        <v>20</v>
      </c>
      <c r="E18" s="33"/>
      <c r="F18" s="34"/>
      <c r="G18" s="32" t="s">
        <v>621</v>
      </c>
      <c r="H18" s="32" t="s">
        <v>2</v>
      </c>
      <c r="I18" s="32" t="s">
        <v>741</v>
      </c>
      <c r="J18" s="35"/>
      <c r="K18" s="32" t="s">
        <v>633</v>
      </c>
    </row>
    <row r="19" spans="1:11" x14ac:dyDescent="0.2">
      <c r="A19" s="13">
        <v>1</v>
      </c>
      <c r="B19" s="31">
        <v>12330182</v>
      </c>
      <c r="C19" s="32" t="s">
        <v>634</v>
      </c>
      <c r="D19" s="32" t="s">
        <v>20</v>
      </c>
      <c r="E19" s="33"/>
      <c r="F19" s="34"/>
      <c r="G19" s="32" t="s">
        <v>621</v>
      </c>
      <c r="H19" s="32" t="s">
        <v>2</v>
      </c>
      <c r="I19" s="32" t="s">
        <v>635</v>
      </c>
      <c r="J19" s="35"/>
      <c r="K19" s="32" t="s">
        <v>636</v>
      </c>
    </row>
    <row r="20" spans="1:11" x14ac:dyDescent="0.2">
      <c r="B20" s="27">
        <v>8513387</v>
      </c>
      <c r="C20" s="13" t="s">
        <v>637</v>
      </c>
      <c r="D20" s="13" t="s">
        <v>0</v>
      </c>
      <c r="E20" s="28"/>
      <c r="F20" s="29"/>
      <c r="G20" s="13" t="s">
        <v>621</v>
      </c>
      <c r="H20" s="13" t="s">
        <v>2</v>
      </c>
      <c r="I20" s="13" t="s">
        <v>742</v>
      </c>
      <c r="J20" s="30"/>
      <c r="K20" s="13" t="s">
        <v>638</v>
      </c>
    </row>
    <row r="21" spans="1:11" x14ac:dyDescent="0.2">
      <c r="B21" s="31">
        <v>15045640</v>
      </c>
      <c r="C21" s="32" t="s">
        <v>639</v>
      </c>
      <c r="D21" s="32" t="s">
        <v>0</v>
      </c>
      <c r="E21" s="33"/>
      <c r="F21" s="34"/>
      <c r="G21" s="32" t="s">
        <v>621</v>
      </c>
      <c r="H21" s="32" t="s">
        <v>2</v>
      </c>
      <c r="I21" s="32" t="s">
        <v>630</v>
      </c>
      <c r="J21" s="35"/>
      <c r="K21" s="32" t="s">
        <v>640</v>
      </c>
    </row>
    <row r="22" spans="1:11" x14ac:dyDescent="0.2">
      <c r="B22" s="27">
        <v>14516868</v>
      </c>
      <c r="C22" s="13" t="s">
        <v>641</v>
      </c>
      <c r="D22" s="13" t="s">
        <v>20</v>
      </c>
      <c r="E22" s="28"/>
      <c r="F22" s="29"/>
      <c r="G22" s="13" t="s">
        <v>621</v>
      </c>
      <c r="H22" s="13" t="s">
        <v>2</v>
      </c>
      <c r="I22" s="13" t="s">
        <v>642</v>
      </c>
      <c r="J22" s="30"/>
      <c r="K22" s="13" t="s">
        <v>643</v>
      </c>
    </row>
    <row r="23" spans="1:11" x14ac:dyDescent="0.2">
      <c r="B23" s="31">
        <v>5121315</v>
      </c>
      <c r="C23" s="32" t="s">
        <v>644</v>
      </c>
      <c r="D23" s="32" t="s">
        <v>0</v>
      </c>
      <c r="E23" s="33"/>
      <c r="F23" s="34"/>
      <c r="G23" s="32" t="s">
        <v>645</v>
      </c>
      <c r="H23" s="32" t="s">
        <v>2</v>
      </c>
      <c r="I23" s="32" t="s">
        <v>622</v>
      </c>
      <c r="J23" s="35"/>
      <c r="K23" s="32" t="s">
        <v>646</v>
      </c>
    </row>
    <row r="24" spans="1:11" x14ac:dyDescent="0.2">
      <c r="B24" s="13">
        <v>8239024</v>
      </c>
      <c r="C24" s="13" t="s">
        <v>647</v>
      </c>
      <c r="D24" s="13" t="s">
        <v>0</v>
      </c>
      <c r="G24" s="13" t="s">
        <v>621</v>
      </c>
      <c r="H24" s="13" t="s">
        <v>2</v>
      </c>
      <c r="I24" s="13" t="s">
        <v>642</v>
      </c>
      <c r="K24" s="13" t="s">
        <v>648</v>
      </c>
    </row>
    <row r="25" spans="1:11" x14ac:dyDescent="0.2">
      <c r="B25" s="31">
        <v>13499083</v>
      </c>
      <c r="C25" s="32" t="s">
        <v>737</v>
      </c>
      <c r="D25" s="32" t="s">
        <v>20</v>
      </c>
      <c r="E25" s="33"/>
      <c r="F25" s="34"/>
      <c r="G25" s="32" t="s">
        <v>621</v>
      </c>
      <c r="H25" s="32" t="s">
        <v>2</v>
      </c>
      <c r="I25" s="32" t="s">
        <v>738</v>
      </c>
      <c r="J25" s="35"/>
      <c r="K25" s="32" t="s">
        <v>739</v>
      </c>
    </row>
    <row r="26" spans="1:11" x14ac:dyDescent="0.2">
      <c r="B26" s="13">
        <v>11485294</v>
      </c>
      <c r="C26" s="13" t="s">
        <v>770</v>
      </c>
      <c r="D26" s="13" t="s">
        <v>0</v>
      </c>
      <c r="G26" s="13" t="s">
        <v>621</v>
      </c>
      <c r="H26" s="13" t="s">
        <v>2</v>
      </c>
      <c r="I26" s="13" t="s">
        <v>771</v>
      </c>
    </row>
  </sheetData>
  <sheetProtection password="CAEF" sheet="1" objects="1" scenarios="1" autoFilter="0"/>
  <autoFilter ref="A12:K25"/>
  <customSheetViews>
    <customSheetView guid="{DD3EE430-41E1-4057-8BE1-25319396213E}" fitToPage="1" showAutoFilter="1" topLeftCell="C1">
      <selection activeCell="F4" sqref="F4"/>
      <pageMargins left="0.23" right="0.17" top="0.98425196850393704" bottom="0.98425196850393704" header="0.51181102362204722" footer="0.51181102362204722"/>
      <pageSetup scale="62" orientation="landscape" r:id="rId1"/>
      <headerFooter alignWithMargins="0"/>
      <autoFilter ref="A12:K25"/>
    </customSheetView>
  </customSheetViews>
  <pageMargins left="0.23" right="0.17" top="0.98425196850393704" bottom="0.98425196850393704" header="0.51181102362204722" footer="0.51181102362204722"/>
  <pageSetup scale="65" orientation="landscape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2049" r:id="rId5" name="Image1">
          <controlPr defaultSize="0" autoLine="0" r:id="rId6">
            <anchor moveWithCells="1">
              <from>
                <xdr:col>1</xdr:col>
                <xdr:colOff>28575</xdr:colOff>
                <xdr:row>0</xdr:row>
                <xdr:rowOff>9525</xdr:rowOff>
              </from>
              <to>
                <xdr:col>1</xdr:col>
                <xdr:colOff>1714500</xdr:colOff>
                <xdr:row>9</xdr:row>
                <xdr:rowOff>123825</xdr:rowOff>
              </to>
            </anchor>
          </controlPr>
        </control>
      </mc:Choice>
      <mc:Fallback>
        <control shapeId="2049" r:id="rId5" name="Imag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2:K35"/>
  <sheetViews>
    <sheetView topLeftCell="D10" workbookViewId="0">
      <selection activeCell="I16" sqref="I16"/>
    </sheetView>
  </sheetViews>
  <sheetFormatPr baseColWidth="10" defaultColWidth="9.140625" defaultRowHeight="12.75" x14ac:dyDescent="0.2"/>
  <cols>
    <col min="1" max="1" width="2.28515625" style="54" customWidth="1"/>
    <col min="2" max="2" width="14.42578125" style="54" customWidth="1"/>
    <col min="3" max="3" width="43.42578125" style="54" customWidth="1"/>
    <col min="4" max="4" width="12.7109375" style="54" customWidth="1"/>
    <col min="5" max="5" width="8.7109375" style="14" customWidth="1"/>
    <col min="6" max="6" width="11.140625" style="54" customWidth="1"/>
    <col min="7" max="7" width="21" style="54" bestFit="1" customWidth="1"/>
    <col min="8" max="8" width="21.140625" style="54" customWidth="1"/>
    <col min="9" max="9" width="35.42578125" style="54" bestFit="1" customWidth="1"/>
    <col min="10" max="10" width="18.28515625" style="54" customWidth="1"/>
    <col min="11" max="11" width="30.85546875" style="54" bestFit="1" customWidth="1"/>
    <col min="12" max="16384" width="9.140625" style="54"/>
  </cols>
  <sheetData>
    <row r="2" spans="1:11" x14ac:dyDescent="0.2">
      <c r="J2" s="15" t="s">
        <v>598</v>
      </c>
      <c r="K2" s="16">
        <f>'Personal Propio FN'!M2</f>
        <v>42308</v>
      </c>
    </row>
    <row r="6" spans="1:11" ht="27" x14ac:dyDescent="0.2">
      <c r="C6" s="17" t="s">
        <v>891</v>
      </c>
    </row>
    <row r="10" spans="1:11" ht="15.75" x14ac:dyDescent="0.2">
      <c r="B10" s="18"/>
      <c r="C10" s="19" t="s">
        <v>600</v>
      </c>
      <c r="D10" s="14"/>
      <c r="F10" s="20">
        <f>COUNT(B13:B35)</f>
        <v>23</v>
      </c>
      <c r="G10" s="21" t="s">
        <v>601</v>
      </c>
      <c r="I10" s="20">
        <f>SUBTOTAL(2,B13:B35)</f>
        <v>23</v>
      </c>
    </row>
    <row r="12" spans="1:11" x14ac:dyDescent="0.2">
      <c r="B12" s="22" t="s">
        <v>614</v>
      </c>
      <c r="C12" s="23" t="s">
        <v>615</v>
      </c>
      <c r="D12" s="23" t="s">
        <v>604</v>
      </c>
      <c r="E12" s="24" t="s">
        <v>605</v>
      </c>
      <c r="F12" s="22" t="s">
        <v>616</v>
      </c>
      <c r="G12" s="23" t="s">
        <v>617</v>
      </c>
      <c r="H12" s="22" t="s">
        <v>608</v>
      </c>
      <c r="I12" s="22" t="s">
        <v>618</v>
      </c>
      <c r="J12" s="25" t="s">
        <v>619</v>
      </c>
      <c r="K12" s="23" t="s">
        <v>595</v>
      </c>
    </row>
    <row r="13" spans="1:11" x14ac:dyDescent="0.2">
      <c r="A13" s="26"/>
      <c r="B13" s="56">
        <v>22876580</v>
      </c>
      <c r="C13" s="57" t="s">
        <v>863</v>
      </c>
      <c r="D13" s="57" t="s">
        <v>0</v>
      </c>
      <c r="E13" s="58">
        <v>20</v>
      </c>
      <c r="F13" s="57">
        <v>7421.68</v>
      </c>
      <c r="G13" s="57" t="s">
        <v>864</v>
      </c>
      <c r="H13" s="57" t="s">
        <v>2</v>
      </c>
      <c r="I13" s="57" t="s">
        <v>865</v>
      </c>
      <c r="J13" s="55">
        <v>41554</v>
      </c>
      <c r="K13" s="54" t="s">
        <v>866</v>
      </c>
    </row>
    <row r="14" spans="1:11" x14ac:dyDescent="0.2">
      <c r="B14" s="56">
        <v>23997209</v>
      </c>
      <c r="C14" s="57" t="s">
        <v>867</v>
      </c>
      <c r="D14" s="57" t="s">
        <v>20</v>
      </c>
      <c r="E14" s="58">
        <v>20</v>
      </c>
      <c r="F14" s="57">
        <v>7421.68</v>
      </c>
      <c r="G14" s="57" t="s">
        <v>864</v>
      </c>
      <c r="H14" s="57" t="s">
        <v>2</v>
      </c>
      <c r="I14" s="57" t="s">
        <v>865</v>
      </c>
      <c r="J14" s="55">
        <v>41554</v>
      </c>
      <c r="K14" s="54" t="s">
        <v>866</v>
      </c>
    </row>
    <row r="15" spans="1:11" x14ac:dyDescent="0.2">
      <c r="B15" s="56">
        <v>24829530</v>
      </c>
      <c r="C15" s="57" t="s">
        <v>868</v>
      </c>
      <c r="D15" s="57" t="s">
        <v>20</v>
      </c>
      <c r="E15" s="58">
        <v>19</v>
      </c>
      <c r="F15" s="57">
        <v>7421.68</v>
      </c>
      <c r="G15" s="57" t="s">
        <v>864</v>
      </c>
      <c r="H15" s="57" t="s">
        <v>2</v>
      </c>
      <c r="I15" s="57" t="s">
        <v>865</v>
      </c>
      <c r="J15" s="55">
        <v>41491</v>
      </c>
      <c r="K15" s="54" t="s">
        <v>866</v>
      </c>
    </row>
    <row r="16" spans="1:11" x14ac:dyDescent="0.2">
      <c r="B16" s="56">
        <v>25313281</v>
      </c>
      <c r="C16" s="57" t="s">
        <v>869</v>
      </c>
      <c r="D16" s="57" t="s">
        <v>0</v>
      </c>
      <c r="E16" s="58">
        <v>19</v>
      </c>
      <c r="F16" s="57">
        <v>7421.68</v>
      </c>
      <c r="G16" s="57" t="s">
        <v>864</v>
      </c>
      <c r="H16" s="57" t="s">
        <v>2</v>
      </c>
      <c r="I16" s="57" t="s">
        <v>865</v>
      </c>
      <c r="J16" s="55">
        <v>41554</v>
      </c>
      <c r="K16" s="54" t="s">
        <v>866</v>
      </c>
    </row>
    <row r="17" spans="2:11" x14ac:dyDescent="0.2">
      <c r="B17" s="56">
        <v>25389955</v>
      </c>
      <c r="C17" s="57" t="s">
        <v>870</v>
      </c>
      <c r="D17" s="57" t="s">
        <v>20</v>
      </c>
      <c r="E17" s="58">
        <v>19</v>
      </c>
      <c r="F17" s="57">
        <v>7421.68</v>
      </c>
      <c r="G17" s="57" t="s">
        <v>864</v>
      </c>
      <c r="H17" s="57" t="s">
        <v>2</v>
      </c>
      <c r="I17" s="57" t="s">
        <v>865</v>
      </c>
      <c r="J17" s="55">
        <v>41736</v>
      </c>
      <c r="K17" s="54" t="s">
        <v>866</v>
      </c>
    </row>
    <row r="18" spans="2:11" x14ac:dyDescent="0.2">
      <c r="B18" s="56">
        <v>25429108</v>
      </c>
      <c r="C18" s="57" t="s">
        <v>871</v>
      </c>
      <c r="D18" s="57" t="s">
        <v>20</v>
      </c>
      <c r="E18" s="58">
        <v>18</v>
      </c>
      <c r="F18" s="57">
        <v>7421.68</v>
      </c>
      <c r="G18" s="57" t="s">
        <v>864</v>
      </c>
      <c r="H18" s="57" t="s">
        <v>2</v>
      </c>
      <c r="I18" s="57" t="s">
        <v>865</v>
      </c>
      <c r="J18" s="55">
        <v>41736</v>
      </c>
      <c r="K18" s="54" t="s">
        <v>866</v>
      </c>
    </row>
    <row r="19" spans="2:11" x14ac:dyDescent="0.2">
      <c r="B19" s="56">
        <v>25614400</v>
      </c>
      <c r="C19" s="57" t="s">
        <v>872</v>
      </c>
      <c r="D19" s="57" t="s">
        <v>20</v>
      </c>
      <c r="E19" s="58">
        <v>20</v>
      </c>
      <c r="F19" s="57">
        <v>7421.68</v>
      </c>
      <c r="G19" s="57" t="s">
        <v>864</v>
      </c>
      <c r="H19" s="57" t="s">
        <v>2</v>
      </c>
      <c r="I19" s="57" t="s">
        <v>865</v>
      </c>
      <c r="J19" s="55">
        <v>41491</v>
      </c>
      <c r="K19" s="54" t="s">
        <v>866</v>
      </c>
    </row>
    <row r="20" spans="2:11" x14ac:dyDescent="0.2">
      <c r="B20" s="56">
        <v>25786763</v>
      </c>
      <c r="C20" s="57" t="s">
        <v>873</v>
      </c>
      <c r="D20" s="57" t="s">
        <v>0</v>
      </c>
      <c r="E20" s="58">
        <v>20</v>
      </c>
      <c r="F20" s="57">
        <v>7421.68</v>
      </c>
      <c r="G20" s="57" t="s">
        <v>864</v>
      </c>
      <c r="H20" s="57" t="s">
        <v>2</v>
      </c>
      <c r="I20" s="57" t="s">
        <v>865</v>
      </c>
      <c r="J20" s="55">
        <v>41736</v>
      </c>
      <c r="K20" s="54" t="s">
        <v>866</v>
      </c>
    </row>
    <row r="21" spans="2:11" x14ac:dyDescent="0.2">
      <c r="B21" s="56">
        <v>25812334</v>
      </c>
      <c r="C21" s="57" t="s">
        <v>874</v>
      </c>
      <c r="D21" s="57" t="s">
        <v>0</v>
      </c>
      <c r="E21" s="58">
        <v>18</v>
      </c>
      <c r="F21" s="57">
        <v>7421.68</v>
      </c>
      <c r="G21" s="57" t="s">
        <v>864</v>
      </c>
      <c r="H21" s="57" t="s">
        <v>2</v>
      </c>
      <c r="I21" s="57" t="s">
        <v>865</v>
      </c>
      <c r="J21" s="55">
        <v>41736</v>
      </c>
      <c r="K21" s="54" t="s">
        <v>866</v>
      </c>
    </row>
    <row r="22" spans="2:11" x14ac:dyDescent="0.2">
      <c r="B22" s="56">
        <v>25852327</v>
      </c>
      <c r="C22" s="57" t="s">
        <v>875</v>
      </c>
      <c r="D22" s="57" t="s">
        <v>20</v>
      </c>
      <c r="E22" s="58">
        <v>17</v>
      </c>
      <c r="F22" s="57">
        <v>7421.68</v>
      </c>
      <c r="G22" s="57" t="s">
        <v>864</v>
      </c>
      <c r="H22" s="57" t="s">
        <v>2</v>
      </c>
      <c r="I22" s="57" t="s">
        <v>865</v>
      </c>
      <c r="J22" s="55">
        <v>41736</v>
      </c>
      <c r="K22" s="54" t="s">
        <v>866</v>
      </c>
    </row>
    <row r="23" spans="2:11" x14ac:dyDescent="0.2">
      <c r="B23" s="56">
        <v>25860786</v>
      </c>
      <c r="C23" s="57" t="s">
        <v>876</v>
      </c>
      <c r="D23" s="57" t="s">
        <v>0</v>
      </c>
      <c r="E23" s="58">
        <v>18</v>
      </c>
      <c r="F23" s="57">
        <v>7421.68</v>
      </c>
      <c r="G23" s="57" t="s">
        <v>864</v>
      </c>
      <c r="H23" s="57" t="s">
        <v>2</v>
      </c>
      <c r="I23" s="57" t="s">
        <v>865</v>
      </c>
      <c r="J23" s="55">
        <v>41736</v>
      </c>
      <c r="K23" s="54" t="s">
        <v>866</v>
      </c>
    </row>
    <row r="24" spans="2:11" x14ac:dyDescent="0.2">
      <c r="B24" s="57">
        <v>26146197</v>
      </c>
      <c r="C24" s="57" t="s">
        <v>877</v>
      </c>
      <c r="D24" s="57" t="s">
        <v>20</v>
      </c>
      <c r="E24" s="59">
        <v>18</v>
      </c>
      <c r="F24" s="57">
        <v>7421.68</v>
      </c>
      <c r="G24" s="57" t="s">
        <v>864</v>
      </c>
      <c r="H24" s="57" t="s">
        <v>2</v>
      </c>
      <c r="I24" s="57" t="s">
        <v>865</v>
      </c>
      <c r="J24" s="55">
        <v>41491</v>
      </c>
      <c r="K24" s="54" t="s">
        <v>866</v>
      </c>
    </row>
    <row r="25" spans="2:11" x14ac:dyDescent="0.2">
      <c r="B25" s="56">
        <v>26237141</v>
      </c>
      <c r="C25" s="57" t="s">
        <v>878</v>
      </c>
      <c r="D25" s="57" t="s">
        <v>20</v>
      </c>
      <c r="E25" s="58">
        <v>19</v>
      </c>
      <c r="F25" s="57">
        <v>7421.68</v>
      </c>
      <c r="G25" s="57" t="s">
        <v>864</v>
      </c>
      <c r="H25" s="57" t="s">
        <v>2</v>
      </c>
      <c r="I25" s="57" t="s">
        <v>865</v>
      </c>
      <c r="J25" s="55">
        <v>41736</v>
      </c>
      <c r="K25" s="54" t="s">
        <v>866</v>
      </c>
    </row>
    <row r="26" spans="2:11" x14ac:dyDescent="0.2">
      <c r="B26" s="57">
        <v>26256890</v>
      </c>
      <c r="C26" s="57" t="s">
        <v>879</v>
      </c>
      <c r="D26" s="57" t="s">
        <v>0</v>
      </c>
      <c r="E26" s="59">
        <v>20</v>
      </c>
      <c r="F26" s="57">
        <v>7421.68</v>
      </c>
      <c r="G26" s="57" t="s">
        <v>864</v>
      </c>
      <c r="H26" s="57" t="s">
        <v>2</v>
      </c>
      <c r="I26" s="57" t="s">
        <v>865</v>
      </c>
      <c r="J26" s="55">
        <v>41736</v>
      </c>
      <c r="K26" s="54" t="s">
        <v>866</v>
      </c>
    </row>
    <row r="27" spans="2:11" x14ac:dyDescent="0.2">
      <c r="B27" s="57">
        <v>26449044</v>
      </c>
      <c r="C27" s="57" t="s">
        <v>880</v>
      </c>
      <c r="D27" s="57" t="s">
        <v>0</v>
      </c>
      <c r="E27" s="59">
        <v>19</v>
      </c>
      <c r="F27" s="57">
        <v>7421.68</v>
      </c>
      <c r="G27" s="57" t="s">
        <v>864</v>
      </c>
      <c r="H27" s="57" t="s">
        <v>2</v>
      </c>
      <c r="I27" s="57" t="s">
        <v>865</v>
      </c>
      <c r="J27" s="55">
        <v>41736</v>
      </c>
      <c r="K27" s="54" t="s">
        <v>866</v>
      </c>
    </row>
    <row r="28" spans="2:11" x14ac:dyDescent="0.2">
      <c r="B28" s="57">
        <v>18298186</v>
      </c>
      <c r="C28" s="57" t="s">
        <v>904</v>
      </c>
      <c r="D28" s="57" t="s">
        <v>20</v>
      </c>
      <c r="E28" s="59">
        <v>29</v>
      </c>
      <c r="F28" s="57">
        <v>2200</v>
      </c>
      <c r="G28" s="57" t="s">
        <v>881</v>
      </c>
      <c r="H28" s="57" t="s">
        <v>2</v>
      </c>
      <c r="I28" s="57" t="s">
        <v>865</v>
      </c>
      <c r="J28" s="55">
        <v>42249</v>
      </c>
      <c r="K28" s="54" t="s">
        <v>882</v>
      </c>
    </row>
    <row r="29" spans="2:11" x14ac:dyDescent="0.2">
      <c r="B29" s="57">
        <v>19795034</v>
      </c>
      <c r="C29" s="57" t="s">
        <v>883</v>
      </c>
      <c r="D29" s="57" t="s">
        <v>0</v>
      </c>
      <c r="E29" s="59">
        <v>26</v>
      </c>
      <c r="F29" s="57">
        <v>3069</v>
      </c>
      <c r="G29" s="57" t="s">
        <v>881</v>
      </c>
      <c r="H29" s="57" t="s">
        <v>2</v>
      </c>
      <c r="I29" s="57" t="s">
        <v>865</v>
      </c>
      <c r="J29" s="55">
        <v>42170</v>
      </c>
      <c r="K29" s="54" t="s">
        <v>884</v>
      </c>
    </row>
    <row r="30" spans="2:11" x14ac:dyDescent="0.2">
      <c r="B30" s="57">
        <v>20343861</v>
      </c>
      <c r="C30" s="57" t="s">
        <v>885</v>
      </c>
      <c r="D30" s="57" t="s">
        <v>20</v>
      </c>
      <c r="E30" s="59">
        <v>22</v>
      </c>
      <c r="F30" s="57">
        <v>3069</v>
      </c>
      <c r="G30" s="57" t="s">
        <v>881</v>
      </c>
      <c r="H30" s="57" t="s">
        <v>2</v>
      </c>
      <c r="I30" s="57" t="s">
        <v>865</v>
      </c>
      <c r="J30" s="55">
        <v>42170</v>
      </c>
      <c r="K30" s="54" t="s">
        <v>884</v>
      </c>
    </row>
    <row r="31" spans="2:11" x14ac:dyDescent="0.2">
      <c r="B31" s="57">
        <v>20755659</v>
      </c>
      <c r="C31" s="57" t="s">
        <v>886</v>
      </c>
      <c r="D31" s="57" t="s">
        <v>20</v>
      </c>
      <c r="E31" s="59">
        <v>22</v>
      </c>
      <c r="F31" s="57">
        <v>3069</v>
      </c>
      <c r="G31" s="57" t="s">
        <v>881</v>
      </c>
      <c r="H31" s="57" t="s">
        <v>2</v>
      </c>
      <c r="I31" s="57" t="s">
        <v>865</v>
      </c>
      <c r="J31" s="55">
        <v>42110</v>
      </c>
      <c r="K31" s="54" t="s">
        <v>884</v>
      </c>
    </row>
    <row r="32" spans="2:11" x14ac:dyDescent="0.2">
      <c r="B32" s="57">
        <v>20755904</v>
      </c>
      <c r="C32" s="57" t="s">
        <v>887</v>
      </c>
      <c r="D32" s="57" t="s">
        <v>20</v>
      </c>
      <c r="E32" s="59">
        <v>24</v>
      </c>
      <c r="F32" s="57">
        <v>3069</v>
      </c>
      <c r="G32" s="57" t="s">
        <v>881</v>
      </c>
      <c r="H32" s="57" t="s">
        <v>2</v>
      </c>
      <c r="I32" s="57" t="s">
        <v>865</v>
      </c>
      <c r="J32" s="55">
        <v>42110</v>
      </c>
      <c r="K32" s="54" t="s">
        <v>884</v>
      </c>
    </row>
    <row r="33" spans="2:11" x14ac:dyDescent="0.2">
      <c r="B33" s="57">
        <v>21290014</v>
      </c>
      <c r="C33" s="57" t="s">
        <v>888</v>
      </c>
      <c r="D33" s="57" t="s">
        <v>0</v>
      </c>
      <c r="E33" s="59">
        <v>22</v>
      </c>
      <c r="F33" s="57">
        <v>3069</v>
      </c>
      <c r="G33" s="57" t="s">
        <v>881</v>
      </c>
      <c r="H33" s="57" t="s">
        <v>2</v>
      </c>
      <c r="I33" s="57" t="s">
        <v>865</v>
      </c>
      <c r="J33" s="55">
        <v>42100</v>
      </c>
      <c r="K33" s="54" t="s">
        <v>882</v>
      </c>
    </row>
    <row r="34" spans="2:11" x14ac:dyDescent="0.2">
      <c r="B34" s="57">
        <v>21629297</v>
      </c>
      <c r="C34" s="57" t="s">
        <v>905</v>
      </c>
      <c r="D34" s="57" t="s">
        <v>0</v>
      </c>
      <c r="E34" s="59">
        <v>22</v>
      </c>
      <c r="F34" s="57">
        <v>4700</v>
      </c>
      <c r="G34" s="57" t="s">
        <v>881</v>
      </c>
      <c r="H34" s="57" t="s">
        <v>2</v>
      </c>
      <c r="I34" s="57" t="s">
        <v>865</v>
      </c>
      <c r="J34" s="55">
        <v>42249</v>
      </c>
      <c r="K34" s="54" t="s">
        <v>884</v>
      </c>
    </row>
    <row r="35" spans="2:11" x14ac:dyDescent="0.2">
      <c r="B35" s="57">
        <v>23239596</v>
      </c>
      <c r="C35" s="57" t="s">
        <v>889</v>
      </c>
      <c r="D35" s="57" t="s">
        <v>0</v>
      </c>
      <c r="E35" s="59">
        <v>23</v>
      </c>
      <c r="F35" s="57">
        <v>3069</v>
      </c>
      <c r="G35" s="57" t="s">
        <v>881</v>
      </c>
      <c r="H35" s="57" t="s">
        <v>2</v>
      </c>
      <c r="I35" s="57" t="s">
        <v>865</v>
      </c>
      <c r="J35" s="55">
        <v>42128</v>
      </c>
      <c r="K35" s="54" t="s">
        <v>884</v>
      </c>
    </row>
  </sheetData>
  <sheetProtection password="CAEF" sheet="1" objects="1" scenarios="1" autoFilter="0"/>
  <autoFilter ref="A12:K35"/>
  <pageMargins left="0.23" right="0.17" top="0.98425196850393704" bottom="0.98425196850393704" header="0.51181102362204722" footer="0.51181102362204722"/>
  <pageSetup scale="62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Normal.dotm</Templat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Personal Propio FN</vt:lpstr>
      <vt:lpstr>Personal Asignado a  FN</vt:lpstr>
      <vt:lpstr>Aprendices y Pasantes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SAP WebAS</dc:creator>
  <cp:lastModifiedBy>diego</cp:lastModifiedBy>
  <cp:revision>1</cp:revision>
  <cp:lastPrinted>2015-11-06T20:07:38Z</cp:lastPrinted>
  <dcterms:created xsi:type="dcterms:W3CDTF">2014-03-05T15:55:56Z</dcterms:created>
  <dcterms:modified xsi:type="dcterms:W3CDTF">2015-12-31T03:01:28Z</dcterms:modified>
</cp:coreProperties>
</file>